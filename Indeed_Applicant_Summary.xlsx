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plicants" sheetId="2" state="visible" r:id="rId2"/>
  </sheets>
  <definedNames>
    <definedName name="_xlnm._FilterDatabase" localSheetId="1" hidden="1">'Applicants'!$A$1:$P$16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i val="1"/>
      <sz val="9"/>
    </font>
    <font>
      <name val="Arial"/>
      <b val="1"/>
    </font>
    <font>
      <name val="Arial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66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Indeed Applications - Summary</t>
        </is>
      </c>
    </row>
    <row r="2">
      <c r="A2" s="2" t="inlineStr">
        <is>
          <t>Generated 30-Oct-2026. Data source: sample/export (see Notes). Duplicates removed: 1.</t>
        </is>
      </c>
    </row>
    <row r="4">
      <c r="A4" s="3" t="inlineStr">
        <is>
          <t>Total applications</t>
        </is>
      </c>
      <c r="B4" s="3">
        <f>COUNTA(Applicants!A2:A16)</f>
        <v/>
      </c>
    </row>
    <row r="6">
      <c r="A6" s="4" t="inlineStr">
        <is>
          <t>Category</t>
        </is>
      </c>
      <c r="B6" s="4" t="inlineStr">
        <is>
          <t>Count</t>
        </is>
      </c>
      <c r="C6" s="4" t="inlineStr">
        <is>
          <t>% of total</t>
        </is>
      </c>
    </row>
    <row r="7">
      <c r="A7" s="5" t="inlineStr">
        <is>
          <t>Relevant/Suitable</t>
        </is>
      </c>
      <c r="B7" s="5">
        <f>COUNTIF(Applicants!M2:M16,A7)</f>
        <v/>
      </c>
      <c r="C7" s="6">
        <f>IF($B$4=0,0,B7/$B$4)</f>
        <v/>
      </c>
    </row>
    <row r="8">
      <c r="A8" s="5" t="inlineStr">
        <is>
          <t>Partially Relevant</t>
        </is>
      </c>
      <c r="B8" s="5">
        <f>COUNTIF(Applicants!M2:M16,A8)</f>
        <v/>
      </c>
      <c r="C8" s="6">
        <f>IF($B$4=0,0,B8/$B$4)</f>
        <v/>
      </c>
    </row>
    <row r="9">
      <c r="A9" s="5" t="inlineStr">
        <is>
          <t>Not Relevant</t>
        </is>
      </c>
      <c r="B9" s="5">
        <f>COUNTIF(Applicants!M2:M16,A9)</f>
        <v/>
      </c>
      <c r="C9" s="6">
        <f>IF($B$4=0,0,B9/$B$4)</f>
        <v/>
      </c>
    </row>
    <row r="10">
      <c r="A10" s="5" t="inlineStr">
        <is>
          <t>Incomplete Profile</t>
        </is>
      </c>
      <c r="B10" s="5">
        <f>COUNTIF(Applicants!M2:M16,A10)</f>
        <v/>
      </c>
      <c r="C10" s="6">
        <f>IF($B$4=0,0,B10/$B$4)</f>
        <v/>
      </c>
    </row>
    <row r="11">
      <c r="A11" s="5" t="inlineStr">
        <is>
          <t>Experienced</t>
        </is>
      </c>
      <c r="B11" s="5">
        <f>COUNTIF(Applicants!N2:N16,A11)</f>
        <v/>
      </c>
      <c r="C11" s="6">
        <f>IF($B$4=0,0,B11/$B$4)</f>
        <v/>
      </c>
    </row>
    <row r="12">
      <c r="A12" s="5" t="inlineStr">
        <is>
          <t>Fresher</t>
        </is>
      </c>
      <c r="B12" s="5">
        <f>COUNTIF(Applicants!N2:N16,A12)</f>
        <v/>
      </c>
      <c r="C12" s="6">
        <f>IF($B$4=0,0,B12/$B$4)</f>
        <v/>
      </c>
    </row>
    <row r="13">
      <c r="A13" s="2" t="inlineStr">
        <is>
          <t>Check: suitability categories sum to total</t>
        </is>
      </c>
      <c r="B13" s="2">
        <f>IF(SUM(B7:B10)=B4,"OK","MISMATCH")</f>
        <v/>
      </c>
    </row>
    <row r="15">
      <c r="A15" s="4" t="inlineStr">
        <is>
          <t>Job</t>
        </is>
      </c>
      <c r="B15" s="4" t="inlineStr">
        <is>
          <t>Relevant/Suitable</t>
        </is>
      </c>
      <c r="C15" s="4" t="inlineStr">
        <is>
          <t>Partially Relevant</t>
        </is>
      </c>
      <c r="D15" s="4" t="inlineStr">
        <is>
          <t>Not Relevant</t>
        </is>
      </c>
      <c r="E15" s="4" t="inlineStr">
        <is>
          <t>Incomplete Profile</t>
        </is>
      </c>
      <c r="F15" s="4" t="inlineStr">
        <is>
          <t>Total</t>
        </is>
      </c>
    </row>
    <row r="16">
      <c r="A16" s="7" t="inlineStr">
        <is>
          <t>JP-001 - Senior Software Engineer (Backend - Python)</t>
        </is>
      </c>
      <c r="B16" s="7">
        <f>COUNTIFS(Applicants!$C$2:$C$16,"JP-001",Applicants!$M$2:$M$16,"Relevant/Suitable")</f>
        <v/>
      </c>
      <c r="C16" s="7">
        <f>COUNTIFS(Applicants!$C$2:$C$16,"JP-001",Applicants!$M$2:$M$16,"Partially Relevant")</f>
        <v/>
      </c>
      <c r="D16" s="7">
        <f>COUNTIFS(Applicants!$C$2:$C$16,"JP-001",Applicants!$M$2:$M$16,"Not Relevant")</f>
        <v/>
      </c>
      <c r="E16" s="7">
        <f>COUNTIFS(Applicants!$C$2:$C$16,"JP-001",Applicants!$M$2:$M$16,"Incomplete Profile")</f>
        <v/>
      </c>
      <c r="F16" s="7">
        <f>SUM(B16:E16)</f>
        <v/>
      </c>
    </row>
    <row r="17">
      <c r="A17" s="7" t="inlineStr">
        <is>
          <t>JP-002 - Frontend Developer (React.js)</t>
        </is>
      </c>
      <c r="B17" s="7">
        <f>COUNTIFS(Applicants!$C$2:$C$16,"JP-002",Applicants!$M$2:$M$16,"Relevant/Suitable")</f>
        <v/>
      </c>
      <c r="C17" s="7">
        <f>COUNTIFS(Applicants!$C$2:$C$16,"JP-002",Applicants!$M$2:$M$16,"Partially Relevant")</f>
        <v/>
      </c>
      <c r="D17" s="7">
        <f>COUNTIFS(Applicants!$C$2:$C$16,"JP-002",Applicants!$M$2:$M$16,"Not Relevant")</f>
        <v/>
      </c>
      <c r="E17" s="7">
        <f>COUNTIFS(Applicants!$C$2:$C$16,"JP-002",Applicants!$M$2:$M$16,"Incomplete Profile")</f>
        <v/>
      </c>
      <c r="F17" s="7">
        <f>SUM(B17:E17)</f>
        <v/>
      </c>
    </row>
    <row r="18">
      <c r="A18" s="7" t="inlineStr">
        <is>
          <t>JP-003 - QA Automation Engineer</t>
        </is>
      </c>
      <c r="B18" s="7">
        <f>COUNTIFS(Applicants!$C$2:$C$16,"JP-003",Applicants!$M$2:$M$16,"Relevant/Suitable")</f>
        <v/>
      </c>
      <c r="C18" s="7">
        <f>COUNTIFS(Applicants!$C$2:$C$16,"JP-003",Applicants!$M$2:$M$16,"Partially Relevant")</f>
        <v/>
      </c>
      <c r="D18" s="7">
        <f>COUNTIFS(Applicants!$C$2:$C$16,"JP-003",Applicants!$M$2:$M$16,"Not Relevant")</f>
        <v/>
      </c>
      <c r="E18" s="7">
        <f>COUNTIFS(Applicants!$C$2:$C$16,"JP-003",Applicants!$M$2:$M$16,"Incomplete Profile")</f>
        <v/>
      </c>
      <c r="F18" s="7">
        <f>SUM(B18:E18)</f>
        <v/>
      </c>
    </row>
    <row r="20">
      <c r="A20" s="8" t="inlineStr">
        <is>
          <t>Notes &amp; assumptions</t>
        </is>
      </c>
    </row>
    <row r="21">
      <c r="A21" s="9" t="inlineStr">
        <is>
          <t>- Score = skills 50 + experience 25 + education 10 + location 10 + notice/salary 5.</t>
        </is>
      </c>
    </row>
    <row r="22">
      <c r="A22" s="9" t="inlineStr">
        <is>
          <t>- Relevant/Suitable: score &gt;= 70; Partially Relevant: &gt;= 40; otherwise Not Relevant.</t>
        </is>
      </c>
    </row>
    <row r="23">
      <c r="A23" s="9" t="inlineStr">
        <is>
          <t>- An applicant matching none of the required skills is always Not Relevant, whatever the score.</t>
        </is>
      </c>
    </row>
    <row r="24">
      <c r="A24" s="9" t="inlineStr">
        <is>
          <t>- Incomplete Profile: skills, experience, education or location missing (cannot be scored fairly).</t>
        </is>
      </c>
    </row>
    <row r="25">
      <c r="A25" s="9" t="inlineStr">
        <is>
          <t>- Fresher: under 1 year of experience; Experienced: 1 year or more.</t>
        </is>
      </c>
    </row>
    <row r="26">
      <c r="A26" s="9" t="inlineStr">
        <is>
          <t>- Only job-related criteria are used. A recruiter should review borderline cases; edit Category/Experience Level on the Applicants sheet and this summary updates.</t>
        </is>
      </c>
    </row>
    <row r="27">
      <c r="A27" s="9" t="inlineStr">
        <is>
          <t>- Applicants shown are SAMPLE records unless APPLICANT_SOURCE=csv was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34" customWidth="1" min="4" max="4"/>
    <col width="13" customWidth="1" min="5" max="5"/>
    <col width="14" customWidth="1" min="6" max="6"/>
    <col width="12" customWidth="1" min="7" max="7"/>
    <col width="24" customWidth="1" min="8" max="8"/>
    <col width="36" customWidth="1" min="9" max="9"/>
    <col width="12" customWidth="1" min="10" max="10"/>
    <col width="10" customWidth="1" min="11" max="11"/>
    <col width="12" customWidth="1" min="12" max="12"/>
    <col width="20" customWidth="1" min="13" max="13"/>
    <col width="16" customWidth="1" min="14" max="14"/>
    <col width="70" customWidth="1" min="15" max="15"/>
    <col width="28" customWidth="1" min="16" max="16"/>
  </cols>
  <sheetData>
    <row r="1">
      <c r="A1" s="4" t="inlineStr">
        <is>
          <t>Applicant ID</t>
        </is>
      </c>
      <c r="B1" s="4" t="inlineStr">
        <is>
          <t>Applicant (name)</t>
        </is>
      </c>
      <c r="C1" s="4" t="inlineStr">
        <is>
          <t>Job ID</t>
        </is>
      </c>
      <c r="D1" s="4" t="inlineStr">
        <is>
          <t>Job Title</t>
        </is>
      </c>
      <c r="E1" s="4" t="inlineStr">
        <is>
          <t>Applied Date</t>
        </is>
      </c>
      <c r="F1" s="4" t="inlineStr">
        <is>
          <t>Location</t>
        </is>
      </c>
      <c r="G1" s="4" t="inlineStr">
        <is>
          <t>Experience (yrs)</t>
        </is>
      </c>
      <c r="H1" s="4" t="inlineStr">
        <is>
          <t>Education</t>
        </is>
      </c>
      <c r="I1" s="4" t="inlineStr">
        <is>
          <t>Skills</t>
        </is>
      </c>
      <c r="J1" s="4" t="inlineStr">
        <is>
          <t>Expected Salary (LPA)</t>
        </is>
      </c>
      <c r="K1" s="4" t="inlineStr">
        <is>
          <t>Notice (days)</t>
        </is>
      </c>
      <c r="L1" s="4" t="inlineStr">
        <is>
          <t>Match Score (0-100)</t>
        </is>
      </c>
      <c r="M1" s="4" t="inlineStr">
        <is>
          <t>Category</t>
        </is>
      </c>
      <c r="N1" s="4" t="inlineStr">
        <is>
          <t>Experience Level</t>
        </is>
      </c>
      <c r="O1" s="4" t="inlineStr">
        <is>
          <t>Reasons (job-related)</t>
        </is>
      </c>
      <c r="P1" s="4" t="inlineStr">
        <is>
          <t>Reviewer Override / Notes</t>
        </is>
      </c>
    </row>
    <row r="2" ht="45" customHeight="1">
      <c r="A2" s="10" t="inlineStr">
        <is>
          <t>AP-001</t>
        </is>
      </c>
      <c r="B2" s="10" t="inlineStr">
        <is>
          <t>Sample Applicant 01</t>
        </is>
      </c>
      <c r="C2" s="10" t="inlineStr">
        <is>
          <t>JP-001</t>
        </is>
      </c>
      <c r="D2" s="10" t="inlineStr">
        <is>
          <t>Senior Software Engineer (Backend - Python)</t>
        </is>
      </c>
      <c r="E2" s="11" t="n">
        <v>46324</v>
      </c>
      <c r="F2" s="10" t="inlineStr">
        <is>
          <t>Gorakhpur</t>
        </is>
      </c>
      <c r="G2" s="10" t="n">
        <v>6</v>
      </c>
      <c r="H2" s="10" t="inlineStr">
        <is>
          <t>B.Tech Computer Science</t>
        </is>
      </c>
      <c r="I2" s="10" t="inlineStr">
        <is>
          <t>Python;Django;PostgreSQL;Docker;AWS;Git;REST API</t>
        </is>
      </c>
      <c r="J2" s="10" t="n">
        <v>18</v>
      </c>
      <c r="K2" s="10" t="n">
        <v>30</v>
      </c>
      <c r="L2" s="10" t="n">
        <v>94</v>
      </c>
      <c r="M2" s="10" t="inlineStr">
        <is>
          <t>Relevant/Suitable</t>
        </is>
      </c>
      <c r="N2" s="10" t="inlineStr">
        <is>
          <t>Experienced</t>
        </is>
      </c>
      <c r="O2" s="10" t="inlineStr">
        <is>
          <t>Skills 7/8 matched (python, django, rest api, postgresql, docker, git, aws); Experience 6 yrs vs 4 required; Education fits; Location Gorakhpur acceptable; Notice 30d OK; Expected 18 LPA within approved max 20</t>
        </is>
      </c>
      <c r="P2" s="10" t="n"/>
    </row>
    <row r="3" ht="45" customHeight="1">
      <c r="A3" s="10" t="inlineStr">
        <is>
          <t>AP-002</t>
        </is>
      </c>
      <c r="B3" s="10" t="inlineStr">
        <is>
          <t>Sample Applicant 02</t>
        </is>
      </c>
      <c r="C3" s="10" t="inlineStr">
        <is>
          <t>JP-001</t>
        </is>
      </c>
      <c r="D3" s="10" t="inlineStr">
        <is>
          <t>Senior Software Engineer (Backend - Python)</t>
        </is>
      </c>
      <c r="E3" s="11" t="n">
        <v>46323</v>
      </c>
      <c r="F3" s="10" t="inlineStr">
        <is>
          <t>Lucknow</t>
        </is>
      </c>
      <c r="G3" s="10" t="n">
        <v>4</v>
      </c>
      <c r="H3" s="10" t="inlineStr">
        <is>
          <t>MCA</t>
        </is>
      </c>
      <c r="I3" s="10" t="inlineStr">
        <is>
          <t>Python;FastAPI;Git;REST API</t>
        </is>
      </c>
      <c r="J3" s="10" t="n">
        <v>19</v>
      </c>
      <c r="K3" s="10" t="n">
        <v>60</v>
      </c>
      <c r="L3" s="10" t="n">
        <v>75</v>
      </c>
      <c r="M3" s="10" t="inlineStr">
        <is>
          <t>Relevant/Suitable</t>
        </is>
      </c>
      <c r="N3" s="10" t="inlineStr">
        <is>
          <t>Experienced</t>
        </is>
      </c>
      <c r="O3" s="10" t="inlineStr">
        <is>
          <t>Skills 4/8 matched (python, fastapi, rest api, git); Experience 4 yrs vs 4 required; Education fits; Location Lucknow acceptable; Notice 60d OK; Expected 19 LPA within approved max 20</t>
        </is>
      </c>
      <c r="P3" s="10" t="n"/>
    </row>
    <row r="4" ht="45" customHeight="1">
      <c r="A4" s="10" t="inlineStr">
        <is>
          <t>AP-003</t>
        </is>
      </c>
      <c r="B4" s="10" t="inlineStr">
        <is>
          <t>Sample Applicant 03</t>
        </is>
      </c>
      <c r="C4" s="10" t="inlineStr">
        <is>
          <t>JP-001</t>
        </is>
      </c>
      <c r="D4" s="10" t="inlineStr">
        <is>
          <t>Senior Software Engineer (Backend - Python)</t>
        </is>
      </c>
      <c r="E4" s="11" t="n">
        <v>46323</v>
      </c>
      <c r="F4" s="10" t="inlineStr">
        <is>
          <t>Delhi</t>
        </is>
      </c>
      <c r="G4" s="10" t="n">
        <v>2</v>
      </c>
      <c r="H4" s="10" t="inlineStr">
        <is>
          <t>B.Tech</t>
        </is>
      </c>
      <c r="I4" s="10" t="inlineStr">
        <is>
          <t>Java;Spring</t>
        </is>
      </c>
      <c r="J4" s="10" t="n">
        <v>14</v>
      </c>
      <c r="K4" s="10" t="n">
        <v>30</v>
      </c>
      <c r="L4" s="10" t="n">
        <v>28</v>
      </c>
      <c r="M4" s="10" t="inlineStr">
        <is>
          <t>Not Relevant</t>
        </is>
      </c>
      <c r="N4" s="10" t="inlineStr">
        <is>
          <t>Experienced</t>
        </is>
      </c>
      <c r="O4" s="10" t="inlineStr">
        <is>
          <t>Skills 0/8 matched (none); Experience 2 yrs vs 4 required (below requirement); Education fits; Location Delhi outside job locations; Notice 30d OK; Expected 14 LPA within approved max 20; No required skills matched - experience is not in the job's field</t>
        </is>
      </c>
      <c r="P4" s="10" t="n"/>
    </row>
    <row r="5" ht="45" customHeight="1">
      <c r="A5" s="10" t="inlineStr">
        <is>
          <t>AP-004</t>
        </is>
      </c>
      <c r="B5" s="10" t="inlineStr">
        <is>
          <t>Sample Applicant 04</t>
        </is>
      </c>
      <c r="C5" s="10" t="inlineStr">
        <is>
          <t>JP-001</t>
        </is>
      </c>
      <c r="D5" s="10" t="inlineStr">
        <is>
          <t>Senior Software Engineer (Backend - Python)</t>
        </is>
      </c>
      <c r="E5" s="11" t="n">
        <v>46322</v>
      </c>
      <c r="F5" s="10" t="inlineStr">
        <is>
          <t>Gorakhpur</t>
        </is>
      </c>
      <c r="G5" s="10" t="n">
        <v>0</v>
      </c>
      <c r="H5" s="10" t="inlineStr">
        <is>
          <t>B.Tech Computer Science</t>
        </is>
      </c>
      <c r="I5" s="10" t="inlineStr">
        <is>
          <t>Python;Git</t>
        </is>
      </c>
      <c r="J5" s="10" t="n">
        <v>5</v>
      </c>
      <c r="K5" s="10" t="n">
        <v>0</v>
      </c>
      <c r="L5" s="10" t="n">
        <v>38</v>
      </c>
      <c r="M5" s="10" t="inlineStr">
        <is>
          <t>Not Relevant</t>
        </is>
      </c>
      <c r="N5" s="10" t="inlineStr">
        <is>
          <t>Fresher</t>
        </is>
      </c>
      <c r="O5" s="10" t="inlineStr">
        <is>
          <t>Skills 2/8 matched (python, git); Experience 0 yrs vs 4 required (below requirement); Education fits; Location Gorakhpur acceptable; Notice 0d OK; Expected 5 LPA within approved max 20</t>
        </is>
      </c>
      <c r="P5" s="10" t="n"/>
    </row>
    <row r="6" ht="45" customHeight="1">
      <c r="A6" s="10" t="inlineStr">
        <is>
          <t>AP-005</t>
        </is>
      </c>
      <c r="B6" s="10" t="inlineStr">
        <is>
          <t>Sample Applicant 05</t>
        </is>
      </c>
      <c r="C6" s="10" t="inlineStr">
        <is>
          <t>JP-001</t>
        </is>
      </c>
      <c r="D6" s="10" t="inlineStr">
        <is>
          <t>Senior Software Engineer (Backend - Python)</t>
        </is>
      </c>
      <c r="E6" s="11" t="n">
        <v>46322</v>
      </c>
      <c r="F6" s="10" t="inlineStr"/>
      <c r="G6" s="10" t="n"/>
      <c r="H6" s="10" t="inlineStr"/>
      <c r="I6" s="10" t="inlineStr"/>
      <c r="J6" s="10" t="n"/>
      <c r="K6" s="10" t="n"/>
      <c r="L6" s="10" t="n">
        <v>0</v>
      </c>
      <c r="M6" s="10" t="inlineStr">
        <is>
          <t>Incomplete Profile</t>
        </is>
      </c>
      <c r="N6" s="10" t="inlineStr"/>
      <c r="O6" s="10" t="inlineStr">
        <is>
          <t>Missing: skills, experience_years, education, location</t>
        </is>
      </c>
      <c r="P6" s="10" t="n"/>
    </row>
    <row r="7" ht="45" customHeight="1">
      <c r="A7" s="10" t="inlineStr">
        <is>
          <t>AP-006</t>
        </is>
      </c>
      <c r="B7" s="10" t="inlineStr">
        <is>
          <t>Sample Applicant 06</t>
        </is>
      </c>
      <c r="C7" s="10" t="inlineStr">
        <is>
          <t>JP-002</t>
        </is>
      </c>
      <c r="D7" s="10" t="inlineStr">
        <is>
          <t>Frontend Developer (React.js)</t>
        </is>
      </c>
      <c r="E7" s="11" t="n">
        <v>46324</v>
      </c>
      <c r="F7" s="10" t="inlineStr">
        <is>
          <t>Gorakhpur</t>
        </is>
      </c>
      <c r="G7" s="10" t="n">
        <v>3</v>
      </c>
      <c r="H7" s="10" t="inlineStr">
        <is>
          <t>BCA</t>
        </is>
      </c>
      <c r="I7" s="10" t="inlineStr">
        <is>
          <t>React;JavaScript;TypeScript;Redux;HTML;CSS;Git</t>
        </is>
      </c>
      <c r="J7" s="10" t="n">
        <v>9</v>
      </c>
      <c r="K7" s="10" t="n">
        <v>30</v>
      </c>
      <c r="L7" s="10" t="n">
        <v>94</v>
      </c>
      <c r="M7" s="10" t="inlineStr">
        <is>
          <t>Relevant/Suitable</t>
        </is>
      </c>
      <c r="N7" s="10" t="inlineStr">
        <is>
          <t>Experienced</t>
        </is>
      </c>
      <c r="O7" s="10" t="inlineStr">
        <is>
          <t>Skills 7/8 matched (react, javascript, typescript, html, css, redux, git); Experience 3 yrs vs 2 required; Education fits; Location Gorakhpur acceptable; Notice 30d OK; Expected 9 LPA within approved max 10</t>
        </is>
      </c>
      <c r="P7" s="10" t="n"/>
    </row>
    <row r="8" ht="45" customHeight="1">
      <c r="A8" s="10" t="inlineStr">
        <is>
          <t>AP-007</t>
        </is>
      </c>
      <c r="B8" s="10" t="inlineStr">
        <is>
          <t>Sample Applicant 07</t>
        </is>
      </c>
      <c r="C8" s="10" t="inlineStr">
        <is>
          <t>JP-002</t>
        </is>
      </c>
      <c r="D8" s="10" t="inlineStr">
        <is>
          <t>Frontend Developer (React.js)</t>
        </is>
      </c>
      <c r="E8" s="11" t="n">
        <v>46323</v>
      </c>
      <c r="F8" s="10" t="inlineStr">
        <is>
          <t>Gorakhpur</t>
        </is>
      </c>
      <c r="G8" s="10" t="n">
        <v>0</v>
      </c>
      <c r="H8" s="10" t="inlineStr">
        <is>
          <t>B.Tech Computer Science</t>
        </is>
      </c>
      <c r="I8" s="10" t="inlineStr">
        <is>
          <t>HTML;CSS;JavaScript</t>
        </is>
      </c>
      <c r="J8" s="10" t="n">
        <v>4</v>
      </c>
      <c r="K8" s="10" t="n">
        <v>0</v>
      </c>
      <c r="L8" s="10" t="n">
        <v>44</v>
      </c>
      <c r="M8" s="10" t="inlineStr">
        <is>
          <t>Partially Relevant</t>
        </is>
      </c>
      <c r="N8" s="10" t="inlineStr">
        <is>
          <t>Fresher</t>
        </is>
      </c>
      <c r="O8" s="10" t="inlineStr">
        <is>
          <t>Skills 3/8 matched (javascript, html, css); Experience 0 yrs vs 2 required (below requirement); Education fits; Location Gorakhpur acceptable; Notice 0d OK; Expected 4 LPA within approved max 10</t>
        </is>
      </c>
      <c r="P8" s="10" t="n"/>
    </row>
    <row r="9" ht="45" customHeight="1">
      <c r="A9" s="10" t="inlineStr">
        <is>
          <t>AP-008</t>
        </is>
      </c>
      <c r="B9" s="10" t="inlineStr">
        <is>
          <t>Sample Applicant 08</t>
        </is>
      </c>
      <c r="C9" s="10" t="inlineStr">
        <is>
          <t>JP-002</t>
        </is>
      </c>
      <c r="D9" s="10" t="inlineStr">
        <is>
          <t>Frontend Developer (React.js)</t>
        </is>
      </c>
      <c r="E9" s="11" t="n">
        <v>46321</v>
      </c>
      <c r="F9" s="10" t="inlineStr">
        <is>
          <t>Mumbai</t>
        </is>
      </c>
      <c r="G9" s="10" t="n">
        <v>5</v>
      </c>
      <c r="H9" s="10" t="inlineStr">
        <is>
          <t>B.E</t>
        </is>
      </c>
      <c r="I9" s="10" t="inlineStr">
        <is>
          <t>Angular;JavaScript</t>
        </is>
      </c>
      <c r="J9" s="10" t="n">
        <v>16</v>
      </c>
      <c r="K9" s="10" t="n">
        <v>90</v>
      </c>
      <c r="L9" s="10" t="n">
        <v>42</v>
      </c>
      <c r="M9" s="10" t="inlineStr">
        <is>
          <t>Partially Relevant</t>
        </is>
      </c>
      <c r="N9" s="10" t="inlineStr">
        <is>
          <t>Experienced</t>
        </is>
      </c>
      <c r="O9" s="10" t="inlineStr">
        <is>
          <t>Skills 1/8 matched (javascript); Experience 5 yrs vs 2 required; Education fits; Location Mumbai outside job locations; Notice 90d too long; Expected 16 LPA above approved max 10</t>
        </is>
      </c>
      <c r="P9" s="10" t="n"/>
    </row>
    <row r="10" ht="45" customHeight="1">
      <c r="A10" s="10" t="inlineStr">
        <is>
          <t>AP-009</t>
        </is>
      </c>
      <c r="B10" s="10" t="inlineStr">
        <is>
          <t>Sample Applicant 09</t>
        </is>
      </c>
      <c r="C10" s="10" t="inlineStr">
        <is>
          <t>JP-002</t>
        </is>
      </c>
      <c r="D10" s="10" t="inlineStr">
        <is>
          <t>Frontend Developer (React.js)</t>
        </is>
      </c>
      <c r="E10" s="11" t="n">
        <v>46321</v>
      </c>
      <c r="F10" s="10" t="inlineStr">
        <is>
          <t>Gorakhpur</t>
        </is>
      </c>
      <c r="G10" s="10" t="n">
        <v>2</v>
      </c>
      <c r="H10" s="10" t="inlineStr">
        <is>
          <t>B.Com</t>
        </is>
      </c>
      <c r="I10" s="10" t="inlineStr">
        <is>
          <t>React;JavaScript;CSS</t>
        </is>
      </c>
      <c r="J10" s="10" t="n">
        <v>8</v>
      </c>
      <c r="K10" s="10" t="n">
        <v>15</v>
      </c>
      <c r="L10" s="10" t="n">
        <v>59</v>
      </c>
      <c r="M10" s="10" t="inlineStr">
        <is>
          <t>Partially Relevant</t>
        </is>
      </c>
      <c r="N10" s="10" t="inlineStr">
        <is>
          <t>Experienced</t>
        </is>
      </c>
      <c r="O10" s="10" t="inlineStr">
        <is>
          <t>Skills 3/8 matched (react, javascript, css); Experience 2 yrs vs 2 required; Education not in preferred list; Location Gorakhpur acceptable; Notice 15d OK; Expected 8 LPA within approved max 10</t>
        </is>
      </c>
      <c r="P10" s="10" t="n"/>
    </row>
    <row r="11" ht="45" customHeight="1">
      <c r="A11" s="10" t="inlineStr">
        <is>
          <t>AP-010</t>
        </is>
      </c>
      <c r="B11" s="10" t="inlineStr">
        <is>
          <t>Sample Applicant 10</t>
        </is>
      </c>
      <c r="C11" s="10" t="inlineStr">
        <is>
          <t>JP-002</t>
        </is>
      </c>
      <c r="D11" s="10" t="inlineStr">
        <is>
          <t>Frontend Developer (React.js)</t>
        </is>
      </c>
      <c r="E11" s="11" t="n">
        <v>46320</v>
      </c>
      <c r="F11" s="10" t="inlineStr">
        <is>
          <t>Gorakhpur</t>
        </is>
      </c>
      <c r="G11" s="10" t="n">
        <v>4</v>
      </c>
      <c r="H11" s="10" t="inlineStr">
        <is>
          <t>B.Com</t>
        </is>
      </c>
      <c r="I11" s="10" t="inlineStr">
        <is>
          <t>Accounting;Tally</t>
        </is>
      </c>
      <c r="J11" s="10" t="n">
        <v>4</v>
      </c>
      <c r="K11" s="10" t="n">
        <v>15</v>
      </c>
      <c r="L11" s="10" t="n">
        <v>40</v>
      </c>
      <c r="M11" s="10" t="inlineStr">
        <is>
          <t>Not Relevant</t>
        </is>
      </c>
      <c r="N11" s="10" t="inlineStr">
        <is>
          <t>Experienced</t>
        </is>
      </c>
      <c r="O11" s="10" t="inlineStr">
        <is>
          <t>Skills 0/8 matched (none); Experience 4 yrs vs 2 required; Education not in preferred list; Location Gorakhpur acceptable; Notice 15d OK; Expected 4 LPA within approved max 10; No required skills matched - experience is not in the job's field</t>
        </is>
      </c>
      <c r="P11" s="10" t="n"/>
    </row>
    <row r="12" ht="45" customHeight="1">
      <c r="A12" s="10" t="inlineStr">
        <is>
          <t>AP-011</t>
        </is>
      </c>
      <c r="B12" s="10" t="inlineStr">
        <is>
          <t>Sample Applicant 11</t>
        </is>
      </c>
      <c r="C12" s="10" t="inlineStr">
        <is>
          <t>JP-003</t>
        </is>
      </c>
      <c r="D12" s="10" t="inlineStr">
        <is>
          <t>QA Automation Engineer</t>
        </is>
      </c>
      <c r="E12" s="11" t="n">
        <v>46324</v>
      </c>
      <c r="F12" s="10" t="inlineStr">
        <is>
          <t>Gorakhpur</t>
        </is>
      </c>
      <c r="G12" s="10" t="n">
        <v>3</v>
      </c>
      <c r="H12" s="10" t="inlineStr">
        <is>
          <t>B.Tech Computer Science</t>
        </is>
      </c>
      <c r="I12" s="10" t="inlineStr">
        <is>
          <t>Selenium;Python;Postman;Jenkins;SQL;Test Planning</t>
        </is>
      </c>
      <c r="J12" s="10" t="n">
        <v>8</v>
      </c>
      <c r="K12" s="10" t="n">
        <v>30</v>
      </c>
      <c r="L12" s="10" t="n">
        <v>88</v>
      </c>
      <c r="M12" s="10" t="inlineStr">
        <is>
          <t>Relevant/Suitable</t>
        </is>
      </c>
      <c r="N12" s="10" t="inlineStr">
        <is>
          <t>Experienced</t>
        </is>
      </c>
      <c r="O12" s="10" t="inlineStr">
        <is>
          <t>Skills 6/8 matched (selenium, python, postman, jenkins, sql, test planning); Experience 3 yrs vs 2 required; Education fits; Location Gorakhpur acceptable; Notice 30d OK; Expected 8 LPA within approved max 9</t>
        </is>
      </c>
      <c r="P12" s="10" t="n"/>
    </row>
    <row r="13" ht="45" customHeight="1">
      <c r="A13" s="10" t="inlineStr">
        <is>
          <t>AP-012</t>
        </is>
      </c>
      <c r="B13" s="10" t="inlineStr">
        <is>
          <t>Sample Applicant 12</t>
        </is>
      </c>
      <c r="C13" s="10" t="inlineStr">
        <is>
          <t>JP-003</t>
        </is>
      </c>
      <c r="D13" s="10" t="inlineStr">
        <is>
          <t>QA Automation Engineer</t>
        </is>
      </c>
      <c r="E13" s="11" t="n">
        <v>46323</v>
      </c>
      <c r="F13" s="10" t="inlineStr">
        <is>
          <t>Lucknow</t>
        </is>
      </c>
      <c r="G13" s="10" t="n">
        <v>2</v>
      </c>
      <c r="H13" s="10" t="inlineStr">
        <is>
          <t>MCA</t>
        </is>
      </c>
      <c r="I13" s="10" t="inlineStr">
        <is>
          <t>Selenium;Java</t>
        </is>
      </c>
      <c r="J13" s="10" t="n">
        <v>7</v>
      </c>
      <c r="K13" s="10" t="n">
        <v>45</v>
      </c>
      <c r="L13" s="10" t="n">
        <v>62</v>
      </c>
      <c r="M13" s="10" t="inlineStr">
        <is>
          <t>Partially Relevant</t>
        </is>
      </c>
      <c r="N13" s="10" t="inlineStr">
        <is>
          <t>Experienced</t>
        </is>
      </c>
      <c r="O13" s="10" t="inlineStr">
        <is>
          <t>Skills 2/8 matched (selenium, java); Experience 2 yrs vs 2 required; Education fits; Location Lucknow acceptable; Notice 45d OK; Expected 7 LPA within approved max 9</t>
        </is>
      </c>
      <c r="P13" s="10" t="n"/>
    </row>
    <row r="14" ht="45" customHeight="1">
      <c r="A14" s="10" t="inlineStr">
        <is>
          <t>AP-013</t>
        </is>
      </c>
      <c r="B14" s="10" t="inlineStr">
        <is>
          <t>Sample Applicant 13</t>
        </is>
      </c>
      <c r="C14" s="10" t="inlineStr">
        <is>
          <t>JP-003</t>
        </is>
      </c>
      <c r="D14" s="10" t="inlineStr">
        <is>
          <t>QA Automation Engineer</t>
        </is>
      </c>
      <c r="E14" s="11" t="n">
        <v>46322</v>
      </c>
      <c r="F14" s="10" t="inlineStr">
        <is>
          <t>Gorakhpur</t>
        </is>
      </c>
      <c r="G14" s="10" t="n">
        <v>0</v>
      </c>
      <c r="H14" s="10" t="inlineStr">
        <is>
          <t>B.Tech</t>
        </is>
      </c>
      <c r="I14" s="10" t="inlineStr">
        <is>
          <t>Manual Testing;SQL</t>
        </is>
      </c>
      <c r="J14" s="10" t="n">
        <v>3.5</v>
      </c>
      <c r="K14" s="10" t="n">
        <v>0</v>
      </c>
      <c r="L14" s="10" t="n">
        <v>31</v>
      </c>
      <c r="M14" s="10" t="inlineStr">
        <is>
          <t>Not Relevant</t>
        </is>
      </c>
      <c r="N14" s="10" t="inlineStr">
        <is>
          <t>Fresher</t>
        </is>
      </c>
      <c r="O14" s="10" t="inlineStr">
        <is>
          <t>Skills 1/8 matched (sql); Experience 0 yrs vs 2 required (below requirement); Education fits; Location Gorakhpur acceptable; Notice 0d OK; Expected 3.5 LPA within approved max 9</t>
        </is>
      </c>
      <c r="P14" s="10" t="n"/>
    </row>
    <row r="15" ht="45" customHeight="1">
      <c r="A15" s="10" t="inlineStr">
        <is>
          <t>AP-014</t>
        </is>
      </c>
      <c r="B15" s="10" t="inlineStr">
        <is>
          <t>Sample Applicant 14</t>
        </is>
      </c>
      <c r="C15" s="10" t="inlineStr">
        <is>
          <t>JP-003</t>
        </is>
      </c>
      <c r="D15" s="10" t="inlineStr">
        <is>
          <t>QA Automation Engineer</t>
        </is>
      </c>
      <c r="E15" s="11" t="n">
        <v>46320</v>
      </c>
      <c r="F15" s="10" t="inlineStr">
        <is>
          <t>Pune</t>
        </is>
      </c>
      <c r="G15" s="10" t="n">
        <v>4</v>
      </c>
      <c r="H15" s="10" t="inlineStr">
        <is>
          <t>B.E</t>
        </is>
      </c>
      <c r="I15" s="10" t="inlineStr">
        <is>
          <t>Playwright;Python;SQL</t>
        </is>
      </c>
      <c r="J15" s="10" t="n">
        <v>12</v>
      </c>
      <c r="K15" s="10" t="n">
        <v>30</v>
      </c>
      <c r="L15" s="10" t="n">
        <v>56</v>
      </c>
      <c r="M15" s="10" t="inlineStr">
        <is>
          <t>Partially Relevant</t>
        </is>
      </c>
      <c r="N15" s="10" t="inlineStr">
        <is>
          <t>Experienced</t>
        </is>
      </c>
      <c r="O15" s="10" t="inlineStr">
        <is>
          <t>Skills 3/8 matched (playwright, python, sql); Experience 4 yrs vs 2 required; Education fits; Location Pune outside job locations; Notice 30d OK; Expected 12 LPA above approved max 9</t>
        </is>
      </c>
      <c r="P15" s="10" t="n"/>
    </row>
    <row r="16" ht="45" customHeight="1">
      <c r="A16" s="10" t="inlineStr">
        <is>
          <t>AP-015</t>
        </is>
      </c>
      <c r="B16" s="10" t="inlineStr">
        <is>
          <t>Sample Applicant 15</t>
        </is>
      </c>
      <c r="C16" s="10" t="inlineStr">
        <is>
          <t>JP-003</t>
        </is>
      </c>
      <c r="D16" s="10" t="inlineStr">
        <is>
          <t>QA Automation Engineer</t>
        </is>
      </c>
      <c r="E16" s="11" t="n">
        <v>46320</v>
      </c>
      <c r="F16" s="10" t="inlineStr">
        <is>
          <t>Gorakhpur</t>
        </is>
      </c>
      <c r="G16" s="10" t="n">
        <v>3</v>
      </c>
      <c r="H16" s="10" t="inlineStr">
        <is>
          <t>B.Tech</t>
        </is>
      </c>
      <c r="I16" s="10" t="inlineStr">
        <is>
          <t>Selenium;Python;SQL</t>
        </is>
      </c>
      <c r="J16" s="10" t="n">
        <v>8</v>
      </c>
      <c r="K16" s="10" t="n">
        <v>30</v>
      </c>
      <c r="L16" s="10" t="n">
        <v>69</v>
      </c>
      <c r="M16" s="10" t="inlineStr">
        <is>
          <t>Partially Relevant</t>
        </is>
      </c>
      <c r="N16" s="10" t="inlineStr">
        <is>
          <t>Experienced</t>
        </is>
      </c>
      <c r="O16" s="10" t="inlineStr">
        <is>
          <t>Skills 3/8 matched (selenium, python, sql); Experience 3 yrs vs 2 required; Education fits; Location Gorakhpur acceptable; Notice 30d OK; Expected 8 LPA within approved max 9</t>
        </is>
      </c>
      <c r="P16" s="10" t="n"/>
    </row>
  </sheetData>
  <autoFilter ref="A1:P16"/>
  <dataValidations count="2">
    <dataValidation sqref="M2:M16" showDropDown="0" showInputMessage="0" showErrorMessage="0" allowBlank="0" type="list">
      <formula1>"Relevant/Suitable,Partially Relevant,Not Relevant,Incomplete Profile"</formula1>
    </dataValidation>
    <dataValidation sqref="N2:N16" showDropDown="0" showInputMessage="0" showErrorMessage="0" allowBlank="1" type="list">
      <formula1>"Experienced,Fresher"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2026-10-30T09:38:21Z</dcterms:created>
  <dcterms:modified xsi:type="dcterms:W3CDTF">2026-10-30T09:38:21Z</dcterms:modified>
</cp:coreProperties>
</file>