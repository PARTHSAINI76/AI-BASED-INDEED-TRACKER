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lan" sheetId="2" state="visible" r:id="rId4"/>
    <sheet name="Safeguards" sheetId="3" state="visible" r:id="rId5"/>
    <sheet name="Test Results" sheetId="4" state="visible" r:id="rId6"/>
    <sheet name="Call Log" sheetId="5" state="visible" r:id="rId7"/>
    <sheet name="Candidate Status" sheetId="6" state="visible" r:id="rId8"/>
    <sheet name="Consent Register" sheetId="7" state="visible" r:id="rId9"/>
    <sheet name="Opt-out Register" sheetId="8" state="visible" r:id="rId10"/>
    <sheet name="Callback Queue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<sst xmlns="http://schemas.openxmlformats.org/spreadsheetml/2006/main" count="524" uniqueCount="260">
  <si>
    <t xml:space="preserve">Automated Calling Prototype - Summary</t>
  </si>
  <si>
    <t xml:space="preserve">SIMULATION - no real calls were placed. Generated 30-Oct-2026 by recruiter1.</t>
  </si>
  <si>
    <t xml:space="preserve">Result</t>
  </si>
  <si>
    <t xml:space="preserve">TEST run</t>
  </si>
  <si>
    <t xml:space="preserve">PILOT run</t>
  </si>
  <si>
    <t xml:space="preserve">Total</t>
  </si>
  <si>
    <t xml:space="preserve">Answered</t>
  </si>
  <si>
    <t xml:space="preserve">No Answer</t>
  </si>
  <si>
    <t xml:space="preserve">Busy</t>
  </si>
  <si>
    <t xml:space="preserve">Invalid Number</t>
  </si>
  <si>
    <t xml:space="preserve">Callback Requested</t>
  </si>
  <si>
    <t xml:space="preserve">Interested</t>
  </si>
  <si>
    <t xml:space="preserve">Not Interested</t>
  </si>
  <si>
    <t xml:space="preserve">Blocked</t>
  </si>
  <si>
    <t xml:space="preserve">Deferred</t>
  </si>
  <si>
    <t xml:space="preserve">Total log entries</t>
  </si>
  <si>
    <t xml:space="preserve">Check vs call-log rows</t>
  </si>
  <si>
    <t xml:space="preserve">Safeguard tests passed</t>
  </si>
  <si>
    <t xml:space="preserve">of tests</t>
  </si>
  <si>
    <t xml:space="preserve">Section</t>
  </si>
  <si>
    <t xml:space="preserve">Item</t>
  </si>
  <si>
    <t xml:space="preserve">Detail</t>
  </si>
  <si>
    <t xml:space="preserve">Platform</t>
  </si>
  <si>
    <t xml:space="preserve">Proposed calling platform</t>
  </si>
  <si>
    <t xml:space="preserve">Cloud telephony/IVR provider with Indian numbering, DLT-compliant routing and webhooks. Candidates to evaluate: Exotel, Ozonetel, Knowlarity, Twilio (verify current India compliance support and pricing). Final choice needs IT-security and Legal sign-off.</t>
  </si>
  <si>
    <t xml:space="preserve">Integration method</t>
  </si>
  <si>
    <t xml:space="preserve">Our service calls the provider's outbound-call REST API with the approved IVR flow; the provider returns call status and key presses through signed HTTPS webhooks, which write the call log. Credentials only via environment/secret manager. Prototype: provider-agnostic CallProvider interface, MockProvider (tested), LiveProvider (skeleton, blocked without approval).</t>
  </si>
  <si>
    <t xml:space="preserve">Workflow</t>
  </si>
  <si>
    <t xml:space="preserve">1. Input</t>
  </si>
  <si>
    <t xml:space="preserve">Shortlisted candidates from Task 3 (one consolidated record each).</t>
  </si>
  <si>
    <t xml:space="preserve">2. Consent check</t>
  </si>
  <si>
    <t xml:space="preserve">Call only candidates with consent on record for recruitment calls; no consent -&gt; human/email outreach asking for consent.</t>
  </si>
  <si>
    <t xml:space="preserve">3. Number validation</t>
  </si>
  <si>
    <t xml:space="preserve">Normalise to +91XXXXXXXXXX; reject non-Indian, wrong length, or numbers not starting 6-9 (Invalid Number).</t>
  </si>
  <si>
    <t xml:space="preserve">4. Suppression</t>
  </si>
  <si>
    <t xml:space="preserve">Skip opted-out numbers and DND-registered numbers (scrub hook).</t>
  </si>
  <si>
    <t xml:space="preserve">5. Limits</t>
  </si>
  <si>
    <t xml:space="preserve">Calling hours 09:00-20:00 IST; max 3 attempts; min 4 h between attempts.</t>
  </si>
  <si>
    <t xml:space="preserve">6. Call</t>
  </si>
  <si>
    <t xml:space="preserve">Play approved IVR script: 1 Interested, 2 Not interested, 3 Human callback, 9 Stop calls.</t>
  </si>
  <si>
    <t xml:space="preserve">7. Record</t>
  </si>
  <si>
    <t xml:space="preserve">Outcome logged: Answered, No Answer, Busy, Invalid Number, Callback Requested, Interested, Not Interested.</t>
  </si>
  <si>
    <t xml:space="preserve">8. Route</t>
  </si>
  <si>
    <t xml:space="preserve">Interested -&gt; Task 5 scheduling | Callback/Answered -&gt; recruiter callback queue | Not interested/opt-out -&gt; closed + suppressed | No Answer/Busy -&gt; retry within limits, then email | Invalid -&gt; request corrected number by email.</t>
  </si>
  <si>
    <t xml:space="preserve">Approvals</t>
  </si>
  <si>
    <t xml:space="preserve">HR Head</t>
  </si>
  <si>
    <t xml:space="preserve">Approves purpose, IVR script (language, wording) and candidate list.</t>
  </si>
  <si>
    <t xml:space="preserve">Legal / Data-protection owner</t>
  </si>
  <si>
    <t xml:space="preserve">Approves consent wording, DND/DLT handling and retention; confirms applicable TRAI and DPDP Act requirements.</t>
  </si>
  <si>
    <t xml:space="preserve">IT / Security</t>
  </si>
  <si>
    <t xml:space="preserve">Approves vendor, data flow, credential handling.</t>
  </si>
  <si>
    <t xml:space="preserve">Written approval reference</t>
  </si>
  <si>
    <t xml:space="preserve">Live mode needs CALL_APPROVAL_ID + CALL_APPROVED_BY, batch cap enforced. No bulk automated calls without approval.</t>
  </si>
  <si>
    <t xml:space="preserve">IVR script (draft)</t>
  </si>
  <si>
    <t xml:space="preserve">For approval</t>
  </si>
  <si>
    <t xml:space="preserve">Hello, this is [Company Name] recruitment about your application for [Role] on Indeed. Press 1 if you are interested, 2 if not interested, 3 to get a call back from a recruiter, or 9 to stop receiving automated calls. (Hindi/English versions to be approved.)</t>
  </si>
  <si>
    <t xml:space="preserve">Safeguard</t>
  </si>
  <si>
    <t xml:space="preserve">How it is enforced</t>
  </si>
  <si>
    <t xml:space="preserve">Consent</t>
  </si>
  <si>
    <t xml:space="preserve">Calls only with recorded consent; withdrawn or missing consent blocks the call.</t>
  </si>
  <si>
    <t xml:space="preserve">Opt-out</t>
  </si>
  <si>
    <t xml:space="preserve">Key 9 suppresses the number permanently (opt_out_register.csv) across runs.</t>
  </si>
  <si>
    <t xml:space="preserve">Human option</t>
  </si>
  <si>
    <t xml:space="preserve">Key 3 creates a human-callback task; no-input answers are also routed to a recruiter.</t>
  </si>
  <si>
    <t xml:space="preserve">Number validation</t>
  </si>
  <si>
    <t xml:space="preserve">Only valid Indian mobile numbers are dialled.</t>
  </si>
  <si>
    <t xml:space="preserve">Hours</t>
  </si>
  <si>
    <t xml:space="preserve">09:00-20:00 IST window (conservative; confirm with Legal).</t>
  </si>
  <si>
    <t xml:space="preserve">Frequency</t>
  </si>
  <si>
    <t xml:space="preserve">Max 3 attempts, min 4 h gap; retries only for No Answer / Busy.</t>
  </si>
  <si>
    <t xml:space="preserve">DND</t>
  </si>
  <si>
    <t xml:space="preserve">DND registry hook; registered numbers get human/email outreach, not automated calls.</t>
  </si>
  <si>
    <t xml:space="preserve">Test first</t>
  </si>
  <si>
    <t xml:space="preserve">TEST mode dials only approved test numbers; PILOT/LIVE only after tests pass.</t>
  </si>
  <si>
    <t xml:space="preserve">Approval gate</t>
  </si>
  <si>
    <t xml:space="preserve">Live mode refuses to start without written approval ref; batch size capped.</t>
  </si>
  <si>
    <t xml:space="preserve">Privacy</t>
  </si>
  <si>
    <t xml:space="preserve">Call log stores masked numbers and candidate IDs only; files saved owner-only; access limited to AUTHORISED_USERS and logged.</t>
  </si>
  <si>
    <t xml:space="preserve">Test</t>
  </si>
  <si>
    <t xml:space="preserve">Area</t>
  </si>
  <si>
    <t xml:space="preserve">Scenario</t>
  </si>
  <si>
    <t xml:space="preserve">Expected</t>
  </si>
  <si>
    <t xml:space="preserve">Actual</t>
  </si>
  <si>
    <t xml:space="preserve">T01</t>
  </si>
  <si>
    <t xml:space="preserve">Number format</t>
  </si>
  <si>
    <t xml:space="preserve">Valid form '+919876543210'</t>
  </si>
  <si>
    <t xml:space="preserve">+919876543210</t>
  </si>
  <si>
    <t xml:space="preserve">PASS</t>
  </si>
  <si>
    <t xml:space="preserve">T02</t>
  </si>
  <si>
    <t xml:space="preserve">Valid form '09876543210'</t>
  </si>
  <si>
    <t xml:space="preserve">T03</t>
  </si>
  <si>
    <t xml:space="preserve">Valid form '919876543210'</t>
  </si>
  <si>
    <t xml:space="preserve">T04</t>
  </si>
  <si>
    <t xml:space="preserve">Valid form '98765 43210'</t>
  </si>
  <si>
    <t xml:space="preserve">T05</t>
  </si>
  <si>
    <t xml:space="preserve">Valid form '0091-98765-43210'</t>
  </si>
  <si>
    <t xml:space="preserve">T06</t>
  </si>
  <si>
    <t xml:space="preserve">Invalid '5876543210' rejected</t>
  </si>
  <si>
    <t xml:space="preserve">False</t>
  </si>
  <si>
    <t xml:space="preserve">T07</t>
  </si>
  <si>
    <t xml:space="preserve">Invalid '987654321' rejected</t>
  </si>
  <si>
    <t xml:space="preserve">T08</t>
  </si>
  <si>
    <t xml:space="preserve">Invalid '+14155550100' rejected</t>
  </si>
  <si>
    <t xml:space="preserve">T09</t>
  </si>
  <si>
    <t xml:space="preserve">Invalid '0000000000' rejected</t>
  </si>
  <si>
    <t xml:space="preserve">T10</t>
  </si>
  <si>
    <t xml:space="preserve">Invalid '9999999999' rejected</t>
  </si>
  <si>
    <t xml:space="preserve">T11</t>
  </si>
  <si>
    <t xml:space="preserve">Invalid '98765abcde' rejected</t>
  </si>
  <si>
    <t xml:space="preserve">T12</t>
  </si>
  <si>
    <t xml:space="preserve">Invalid '' rejected</t>
  </si>
  <si>
    <t xml:space="preserve">T13</t>
  </si>
  <si>
    <t xml:space="preserve">Calling hours</t>
  </si>
  <si>
    <t xml:space="preserve">Call at 08:59 IST</t>
  </si>
  <si>
    <t xml:space="preserve">DEFER</t>
  </si>
  <si>
    <t xml:space="preserve">T14</t>
  </si>
  <si>
    <t xml:space="preserve">Call at 09:00 IST</t>
  </si>
  <si>
    <t xml:space="preserve">ALLOW</t>
  </si>
  <si>
    <t xml:space="preserve">T15</t>
  </si>
  <si>
    <t xml:space="preserve">Call at 19:59 IST</t>
  </si>
  <si>
    <t xml:space="preserve">T16</t>
  </si>
  <si>
    <t xml:space="preserve">Call at 20:00 IST</t>
  </si>
  <si>
    <t xml:space="preserve">T17</t>
  </si>
  <si>
    <t xml:space="preserve">No consent on record -&gt; blocked</t>
  </si>
  <si>
    <t xml:space="preserve">BLOCK</t>
  </si>
  <si>
    <t xml:space="preserve">T18</t>
  </si>
  <si>
    <t xml:space="preserve">Withdrawn consent -&gt; blocked</t>
  </si>
  <si>
    <t xml:space="preserve">T19</t>
  </si>
  <si>
    <t xml:space="preserve">Press 9 -&gt; number suppressed</t>
  </si>
  <si>
    <t xml:space="preserve">True</t>
  </si>
  <si>
    <t xml:space="preserve">T20</t>
  </si>
  <si>
    <t xml:space="preserve">No further call after opt-out</t>
  </si>
  <si>
    <t xml:space="preserve">1</t>
  </si>
  <si>
    <t xml:space="preserve">T21</t>
  </si>
  <si>
    <t xml:space="preserve">4th attempt refused (limit 3)</t>
  </si>
  <si>
    <t xml:space="preserve">3</t>
  </si>
  <si>
    <t xml:space="preserve">T22</t>
  </si>
  <si>
    <t xml:space="preserve">Retry after 1 h refused (min gap 4 h)</t>
  </si>
  <si>
    <t xml:space="preserve">T23</t>
  </si>
  <si>
    <t xml:space="preserve">Press 3 -&gt; callback task created</t>
  </si>
  <si>
    <t xml:space="preserve">T24</t>
  </si>
  <si>
    <t xml:space="preserve">Test-number guard</t>
  </si>
  <si>
    <t xml:space="preserve">Non-approved number blocked in TEST mode</t>
  </si>
  <si>
    <t xml:space="preserve">T25</t>
  </si>
  <si>
    <t xml:space="preserve">Live guard</t>
  </si>
  <si>
    <t xml:space="preserve">Live mode without approval refused</t>
  </si>
  <si>
    <t xml:space="preserve">refused</t>
  </si>
  <si>
    <t xml:space="preserve">T26</t>
  </si>
  <si>
    <t xml:space="preserve">Live batch above cap refused</t>
  </si>
  <si>
    <t xml:space="preserve">T27</t>
  </si>
  <si>
    <t xml:space="preserve">Live provider without credentials refused</t>
  </si>
  <si>
    <t xml:space="preserve">T28</t>
  </si>
  <si>
    <t xml:space="preserve">Outcomes</t>
  </si>
  <si>
    <t xml:space="preserve">TEST run produced all 7 required outcomes</t>
  </si>
  <si>
    <t xml:space="preserve">T29</t>
  </si>
  <si>
    <t xml:space="preserve">DND-registered number not called</t>
  </si>
  <si>
    <t xml:space="preserve">Call ID</t>
  </si>
  <si>
    <t xml:space="preserve">Run Type</t>
  </si>
  <si>
    <t xml:space="preserve">Time (IST)</t>
  </si>
  <si>
    <t xml:space="preserve">Candidate ID</t>
  </si>
  <si>
    <t xml:space="preserve">Phone (masked)</t>
  </si>
  <si>
    <t xml:space="preserve">Attempt #</t>
  </si>
  <si>
    <t xml:space="preserve">T-001</t>
  </si>
  <si>
    <t xml:space="preserve">TEST</t>
  </si>
  <si>
    <t xml:space="preserve">TEST-1</t>
  </si>
  <si>
    <t xml:space="preserve">+91 ******0101</t>
  </si>
  <si>
    <t xml:space="preserve">Picked up, no key pressed - human follow-up needed</t>
  </si>
  <si>
    <t xml:space="preserve">T-002</t>
  </si>
  <si>
    <t xml:space="preserve">TEST-2</t>
  </si>
  <si>
    <t xml:space="preserve">+91 ******0102</t>
  </si>
  <si>
    <t xml:space="preserve">T-003</t>
  </si>
  <si>
    <t xml:space="preserve">TEST-3</t>
  </si>
  <si>
    <t xml:space="preserve">+91 ******0103</t>
  </si>
  <si>
    <t xml:space="preserve">T-004</t>
  </si>
  <si>
    <t xml:space="preserve">TEST-4</t>
  </si>
  <si>
    <t xml:space="preserve">+91 ******0104</t>
  </si>
  <si>
    <t xml:space="preserve">T-005</t>
  </si>
  <si>
    <t xml:space="preserve">TEST-5</t>
  </si>
  <si>
    <t xml:space="preserve">+91 ******0105</t>
  </si>
  <si>
    <t xml:space="preserve">Pressed 3</t>
  </si>
  <si>
    <t xml:space="preserve">T-006</t>
  </si>
  <si>
    <t xml:space="preserve">TEST-6</t>
  </si>
  <si>
    <t xml:space="preserve">+91 ******0106</t>
  </si>
  <si>
    <t xml:space="preserve">Pressed 1</t>
  </si>
  <si>
    <t xml:space="preserve">T-007</t>
  </si>
  <si>
    <t xml:space="preserve">TEST-7</t>
  </si>
  <si>
    <t xml:space="preserve">+91 ******0107</t>
  </si>
  <si>
    <t xml:space="preserve">Pressed 2</t>
  </si>
  <si>
    <t xml:space="preserve">T-008</t>
  </si>
  <si>
    <t xml:space="preserve">TEST-8</t>
  </si>
  <si>
    <t xml:space="preserve">+91 ******0108</t>
  </si>
  <si>
    <t xml:space="preserve">Pressed 9 - OPTED OUT, number suppressed permanently</t>
  </si>
  <si>
    <t xml:space="preserve">T-009</t>
  </si>
  <si>
    <t xml:space="preserve">TEST-9</t>
  </si>
  <si>
    <t xml:space="preserve">+91 ******0109</t>
  </si>
  <si>
    <t xml:space="preserve">number on DND registry - use human/email outreach</t>
  </si>
  <si>
    <t xml:space="preserve">T-010</t>
  </si>
  <si>
    <t xml:space="preserve">TEST-X</t>
  </si>
  <si>
    <t xml:space="preserve">+91 ******6789</t>
  </si>
  <si>
    <t xml:space="preserve">not an approved test number</t>
  </si>
  <si>
    <t xml:space="preserve">T-011</t>
  </si>
  <si>
    <t xml:space="preserve">T-012</t>
  </si>
  <si>
    <t xml:space="preserve">T-013</t>
  </si>
  <si>
    <t xml:space="preserve">P-001</t>
  </si>
  <si>
    <t xml:space="preserve">PILOT</t>
  </si>
  <si>
    <t xml:space="preserve">CAND-001</t>
  </si>
  <si>
    <t xml:space="preserve">+91 ******0001</t>
  </si>
  <si>
    <t xml:space="preserve">P-002</t>
  </si>
  <si>
    <t xml:space="preserve">CAND-002</t>
  </si>
  <si>
    <t xml:space="preserve">+91 ******0006</t>
  </si>
  <si>
    <t xml:space="preserve">P-003</t>
  </si>
  <si>
    <t xml:space="preserve">CAND-003</t>
  </si>
  <si>
    <t xml:space="preserve">+91 ******0011</t>
  </si>
  <si>
    <t xml:space="preserve">P-004</t>
  </si>
  <si>
    <t xml:space="preserve">CAND-004</t>
  </si>
  <si>
    <t xml:space="preserve">+91 ******0002</t>
  </si>
  <si>
    <t xml:space="preserve">no consent on record</t>
  </si>
  <si>
    <t xml:space="preserve">P-005</t>
  </si>
  <si>
    <t xml:space="preserve">P-006</t>
  </si>
  <si>
    <t xml:space="preserve">Priority</t>
  </si>
  <si>
    <t xml:space="preserve">Job</t>
  </si>
  <si>
    <t xml:space="preserve">Attempts</t>
  </si>
  <si>
    <t xml:space="preserve">Final Outcome</t>
  </si>
  <si>
    <t xml:space="preserve">Note</t>
  </si>
  <si>
    <t xml:space="preserve">Next Action</t>
  </si>
  <si>
    <t xml:space="preserve">P1 - High</t>
  </si>
  <si>
    <t xml:space="preserve">JP-001</t>
  </si>
  <si>
    <t xml:space="preserve">Schedule interview (Task 5)</t>
  </si>
  <si>
    <t xml:space="preserve">JP-002</t>
  </si>
  <si>
    <t xml:space="preserve">Recruiter callback, then schedule</t>
  </si>
  <si>
    <t xml:space="preserve">JP-003</t>
  </si>
  <si>
    <t xml:space="preserve">P2 - Medium</t>
  </si>
  <si>
    <t xml:space="preserve">Manual outreach: request consent by email/Indeed message</t>
  </si>
  <si>
    <t xml:space="preserve">Consent given</t>
  </si>
  <si>
    <t xml:space="preserve">Recorded at</t>
  </si>
  <si>
    <t xml:space="preserve">Channel</t>
  </si>
  <si>
    <t xml:space="preserve">Scope</t>
  </si>
  <si>
    <t xml:space="preserve">Withdrawn</t>
  </si>
  <si>
    <t xml:space="preserve">Yes</t>
  </si>
  <si>
    <t xml:space="preserve">TEST harness</t>
  </si>
  <si>
    <t xml:space="preserve">test</t>
  </si>
  <si>
    <t xml:space="preserve">Recruitment calls/messages for the applied role</t>
  </si>
  <si>
    <t xml:space="preserve">No</t>
  </si>
  <si>
    <t xml:space="preserve">2026-10-30 09:00 IST</t>
  </si>
  <si>
    <t xml:space="preserve">Indeed application (sample)</t>
  </si>
  <si>
    <t xml:space="preserve">Number (masked)</t>
  </si>
  <si>
    <t xml:space="preserve">Opted out at</t>
  </si>
  <si>
    <t xml:space="preserve">Source</t>
  </si>
  <si>
    <t xml:space="preserve">2026-10-30T10:00:00+05:30</t>
  </si>
  <si>
    <t xml:space="preserve">IVR key 9</t>
  </si>
  <si>
    <t xml:space="preserve">Name</t>
  </si>
  <si>
    <t xml:space="preserve">Requested at</t>
  </si>
  <si>
    <t xml:space="preserve">Action</t>
  </si>
  <si>
    <t xml:space="preserve">Status</t>
  </si>
  <si>
    <t xml:space="preserve">Test Contact 1</t>
  </si>
  <si>
    <t xml:space="preserve">Answered without response - recruiter follow-up</t>
  </si>
  <si>
    <t xml:space="preserve">Open</t>
  </si>
  <si>
    <t xml:space="preserve">Test Contact 5</t>
  </si>
  <si>
    <t xml:space="preserve">Human recruiter to call back within 1 working day</t>
  </si>
  <si>
    <t xml:space="preserve">Sample Applicant 06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</si>
</sst>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m\-yyyy\ hh: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n">
        <f aca="false">COUNTIFS('Call Log'!$B$2:$B$20,"TEST",'Call Log'!$G$2:$G$20,$A5)</f>
        <v>1</v>
      </c>
      <c r="C5" s="4" t="n">
        <f aca="false">COUNTIFS('Call Log'!$B$2:$B$20,"PILOT",'Call Log'!$G$2:$G$20,$A5)</f>
        <v>0</v>
      </c>
      <c r="D5" s="4" t="n">
        <f aca="false">B5+C5</f>
        <v>1</v>
      </c>
    </row>
    <row r="6" customFormat="false" ht="15" hidden="false" customHeight="false" outlineLevel="0" collapsed="false">
      <c r="A6" s="4" t="s">
        <v>7</v>
      </c>
      <c r="B6" s="4" t="n">
        <f aca="false">COUNTIFS('Call Log'!$B$2:$B$20,"TEST",'Call Log'!$G$2:$G$20,$A6)</f>
        <v>3</v>
      </c>
      <c r="C6" s="4" t="n">
        <f aca="false">COUNTIFS('Call Log'!$B$2:$B$20,"PILOT",'Call Log'!$G$2:$G$20,$A6)</f>
        <v>1</v>
      </c>
      <c r="D6" s="4" t="n">
        <f aca="false">B6+C6</f>
        <v>4</v>
      </c>
    </row>
    <row r="7" customFormat="false" ht="15" hidden="false" customHeight="false" outlineLevel="0" collapsed="false">
      <c r="A7" s="4" t="s">
        <v>8</v>
      </c>
      <c r="B7" s="4" t="n">
        <f aca="false">COUNTIFS('Call Log'!$B$2:$B$20,"TEST",'Call Log'!$G$2:$G$20,$A7)</f>
        <v>1</v>
      </c>
      <c r="C7" s="4" t="n">
        <f aca="false">COUNTIFS('Call Log'!$B$2:$B$20,"PILOT",'Call Log'!$G$2:$G$20,$A7)</f>
        <v>1</v>
      </c>
      <c r="D7" s="4" t="n">
        <f aca="false">B7+C7</f>
        <v>2</v>
      </c>
    </row>
    <row r="8" customFormat="false" ht="15" hidden="false" customHeight="false" outlineLevel="0" collapsed="false">
      <c r="A8" s="4" t="s">
        <v>9</v>
      </c>
      <c r="B8" s="4" t="n">
        <f aca="false">COUNTIFS('Call Log'!$B$2:$B$20,"TEST",'Call Log'!$G$2:$G$20,$A8)</f>
        <v>1</v>
      </c>
      <c r="C8" s="4" t="n">
        <f aca="false">COUNTIFS('Call Log'!$B$2:$B$20,"PILOT",'Call Log'!$G$2:$G$20,$A8)</f>
        <v>0</v>
      </c>
      <c r="D8" s="4" t="n">
        <f aca="false">B8+C8</f>
        <v>1</v>
      </c>
    </row>
    <row r="9" customFormat="false" ht="15" hidden="false" customHeight="false" outlineLevel="0" collapsed="false">
      <c r="A9" s="4" t="s">
        <v>10</v>
      </c>
      <c r="B9" s="4" t="n">
        <f aca="false">COUNTIFS('Call Log'!$B$2:$B$20,"TEST",'Call Log'!$G$2:$G$20,$A9)</f>
        <v>1</v>
      </c>
      <c r="C9" s="4" t="n">
        <f aca="false">COUNTIFS('Call Log'!$B$2:$B$20,"PILOT",'Call Log'!$G$2:$G$20,$A9)</f>
        <v>1</v>
      </c>
      <c r="D9" s="4" t="n">
        <f aca="false">B9+C9</f>
        <v>2</v>
      </c>
    </row>
    <row r="10" customFormat="false" ht="15" hidden="false" customHeight="false" outlineLevel="0" collapsed="false">
      <c r="A10" s="4" t="s">
        <v>11</v>
      </c>
      <c r="B10" s="4" t="n">
        <f aca="false">COUNTIFS('Call Log'!$B$2:$B$20,"TEST",'Call Log'!$G$2:$G$20,$A10)</f>
        <v>2</v>
      </c>
      <c r="C10" s="4" t="n">
        <f aca="false">COUNTIFS('Call Log'!$B$2:$B$20,"PILOT",'Call Log'!$G$2:$G$20,$A10)</f>
        <v>2</v>
      </c>
      <c r="D10" s="4" t="n">
        <f aca="false">B10+C10</f>
        <v>4</v>
      </c>
    </row>
    <row r="11" customFormat="false" ht="15" hidden="false" customHeight="false" outlineLevel="0" collapsed="false">
      <c r="A11" s="4" t="s">
        <v>12</v>
      </c>
      <c r="B11" s="4" t="n">
        <f aca="false">COUNTIFS('Call Log'!$B$2:$B$20,"TEST",'Call Log'!$G$2:$G$20,$A11)</f>
        <v>2</v>
      </c>
      <c r="C11" s="4" t="n">
        <f aca="false">COUNTIFS('Call Log'!$B$2:$B$20,"PILOT",'Call Log'!$G$2:$G$20,$A11)</f>
        <v>0</v>
      </c>
      <c r="D11" s="4" t="n">
        <f aca="false">B11+C11</f>
        <v>2</v>
      </c>
    </row>
    <row r="12" customFormat="false" ht="15" hidden="false" customHeight="false" outlineLevel="0" collapsed="false">
      <c r="A12" s="4" t="s">
        <v>13</v>
      </c>
      <c r="B12" s="4" t="n">
        <f aca="false">COUNTIFS('Call Log'!$B$2:$B$20,"TEST",'Call Log'!$G$2:$G$20,$A12)</f>
        <v>2</v>
      </c>
      <c r="C12" s="4" t="n">
        <f aca="false">COUNTIFS('Call Log'!$B$2:$B$20,"PILOT",'Call Log'!$G$2:$G$20,$A12)</f>
        <v>1</v>
      </c>
      <c r="D12" s="4" t="n">
        <f aca="false">B12+C12</f>
        <v>3</v>
      </c>
    </row>
    <row r="13" customFormat="false" ht="15" hidden="false" customHeight="false" outlineLevel="0" collapsed="false">
      <c r="A13" s="4" t="s">
        <v>14</v>
      </c>
      <c r="B13" s="4" t="n">
        <f aca="false">COUNTIFS('Call Log'!$B$2:$B$20,"TEST",'Call Log'!$G$2:$G$20,$A13)</f>
        <v>0</v>
      </c>
      <c r="C13" s="4" t="n">
        <f aca="false">COUNTIFS('Call Log'!$B$2:$B$20,"PILOT",'Call Log'!$G$2:$G$20,$A13)</f>
        <v>0</v>
      </c>
      <c r="D13" s="4" t="n">
        <f aca="false">B13+C13</f>
        <v>0</v>
      </c>
    </row>
    <row r="14" customFormat="false" ht="15" hidden="false" customHeight="false" outlineLevel="0" collapsed="false">
      <c r="A14" s="5" t="s">
        <v>15</v>
      </c>
      <c r="B14" s="5" t="n">
        <f aca="false">SUM(B5:B13)</f>
        <v>13</v>
      </c>
      <c r="C14" s="5" t="n">
        <f aca="false">SUM(C5:C13)</f>
        <v>6</v>
      </c>
      <c r="D14" s="5" t="n">
        <f aca="false">SUM(D5:D13)</f>
        <v>19</v>
      </c>
    </row>
    <row r="15" customFormat="false" ht="15" hidden="false" customHeight="false" outlineLevel="0" collapsed="false">
      <c r="A15" s="2" t="s">
        <v>16</v>
      </c>
      <c r="D15" s="2" t="str">
        <f aca="false">IF(D14=COUNTA('Call Log'!A2:A20),"OK","MISMATCH")</f>
        <v>OK</v>
      </c>
    </row>
    <row r="17" customFormat="false" ht="15" hidden="false" customHeight="false" outlineLevel="0" collapsed="false">
      <c r="A17" s="5" t="s">
        <v>17</v>
      </c>
      <c r="B17" s="6" t="n">
        <f aca="false">COUNTIF('Test Results'!F2:F30,"PASS")</f>
        <v>29</v>
      </c>
      <c r="C17" s="6" t="n">
        <f aca="false">COUNTA('Test Results'!A2:A30)</f>
        <v>29</v>
      </c>
      <c r="D17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8"/>
    <col collapsed="false" customWidth="true" hidden="false" outlineLevel="0" max="3" min="3" style="0" width="120"/>
  </cols>
  <sheetData>
    <row r="1" customFormat="false" ht="15" hidden="false" customHeight="false" outlineLevel="0" collapsed="false">
      <c r="A1" s="3" t="s">
        <v>19</v>
      </c>
      <c r="B1" s="3" t="s">
        <v>20</v>
      </c>
      <c r="C1" s="3" t="s">
        <v>21</v>
      </c>
    </row>
    <row r="2" customFormat="false" ht="48" hidden="false" customHeight="true" outlineLevel="0" collapsed="false">
      <c r="A2" s="7" t="s">
        <v>22</v>
      </c>
      <c r="B2" s="7" t="s">
        <v>23</v>
      </c>
      <c r="C2" s="7" t="s">
        <v>24</v>
      </c>
    </row>
    <row r="3" customFormat="false" ht="48" hidden="false" customHeight="true" outlineLevel="0" collapsed="false">
      <c r="A3" s="7" t="s">
        <v>22</v>
      </c>
      <c r="B3" s="7" t="s">
        <v>25</v>
      </c>
      <c r="C3" s="7" t="s">
        <v>26</v>
      </c>
    </row>
    <row r="4" customFormat="false" ht="48" hidden="false" customHeight="true" outlineLevel="0" collapsed="false">
      <c r="A4" s="7" t="s">
        <v>27</v>
      </c>
      <c r="B4" s="7" t="s">
        <v>28</v>
      </c>
      <c r="C4" s="7" t="s">
        <v>29</v>
      </c>
    </row>
    <row r="5" customFormat="false" ht="48" hidden="false" customHeight="true" outlineLevel="0" collapsed="false">
      <c r="A5" s="7" t="s">
        <v>27</v>
      </c>
      <c r="B5" s="7" t="s">
        <v>30</v>
      </c>
      <c r="C5" s="7" t="s">
        <v>31</v>
      </c>
    </row>
    <row r="6" customFormat="false" ht="48" hidden="false" customHeight="true" outlineLevel="0" collapsed="false">
      <c r="A6" s="7" t="s">
        <v>27</v>
      </c>
      <c r="B6" s="7" t="s">
        <v>32</v>
      </c>
      <c r="C6" s="7" t="s">
        <v>33</v>
      </c>
    </row>
    <row r="7" customFormat="false" ht="48" hidden="false" customHeight="true" outlineLevel="0" collapsed="false">
      <c r="A7" s="7" t="s">
        <v>27</v>
      </c>
      <c r="B7" s="7" t="s">
        <v>34</v>
      </c>
      <c r="C7" s="7" t="s">
        <v>35</v>
      </c>
    </row>
    <row r="8" customFormat="false" ht="48" hidden="false" customHeight="true" outlineLevel="0" collapsed="false">
      <c r="A8" s="7" t="s">
        <v>27</v>
      </c>
      <c r="B8" s="7" t="s">
        <v>36</v>
      </c>
      <c r="C8" s="7" t="s">
        <v>37</v>
      </c>
    </row>
    <row r="9" customFormat="false" ht="48" hidden="false" customHeight="true" outlineLevel="0" collapsed="false">
      <c r="A9" s="7" t="s">
        <v>27</v>
      </c>
      <c r="B9" s="7" t="s">
        <v>38</v>
      </c>
      <c r="C9" s="7" t="s">
        <v>39</v>
      </c>
    </row>
    <row r="10" customFormat="false" ht="48" hidden="false" customHeight="true" outlineLevel="0" collapsed="false">
      <c r="A10" s="7" t="s">
        <v>27</v>
      </c>
      <c r="B10" s="7" t="s">
        <v>40</v>
      </c>
      <c r="C10" s="7" t="s">
        <v>41</v>
      </c>
    </row>
    <row r="11" customFormat="false" ht="48" hidden="false" customHeight="true" outlineLevel="0" collapsed="false">
      <c r="A11" s="7" t="s">
        <v>27</v>
      </c>
      <c r="B11" s="7" t="s">
        <v>42</v>
      </c>
      <c r="C11" s="7" t="s">
        <v>43</v>
      </c>
    </row>
    <row r="12" customFormat="false" ht="48" hidden="false" customHeight="true" outlineLevel="0" collapsed="false">
      <c r="A12" s="7" t="s">
        <v>44</v>
      </c>
      <c r="B12" s="7" t="s">
        <v>45</v>
      </c>
      <c r="C12" s="7" t="s">
        <v>46</v>
      </c>
    </row>
    <row r="13" customFormat="false" ht="48" hidden="false" customHeight="true" outlineLevel="0" collapsed="false">
      <c r="A13" s="7" t="s">
        <v>44</v>
      </c>
      <c r="B13" s="7" t="s">
        <v>47</v>
      </c>
      <c r="C13" s="7" t="s">
        <v>48</v>
      </c>
    </row>
    <row r="14" customFormat="false" ht="48" hidden="false" customHeight="true" outlineLevel="0" collapsed="false">
      <c r="A14" s="7" t="s">
        <v>44</v>
      </c>
      <c r="B14" s="7" t="s">
        <v>49</v>
      </c>
      <c r="C14" s="7" t="s">
        <v>50</v>
      </c>
    </row>
    <row r="15" customFormat="false" ht="48" hidden="false" customHeight="true" outlineLevel="0" collapsed="false">
      <c r="A15" s="7" t="s">
        <v>44</v>
      </c>
      <c r="B15" s="7" t="s">
        <v>51</v>
      </c>
      <c r="C15" s="7" t="s">
        <v>52</v>
      </c>
    </row>
    <row r="16" customFormat="false" ht="48" hidden="false" customHeight="true" outlineLevel="0" collapsed="false">
      <c r="A16" s="7" t="s">
        <v>53</v>
      </c>
      <c r="B16" s="7" t="s">
        <v>54</v>
      </c>
      <c r="C16" s="7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56</v>
      </c>
      <c r="B1" s="3" t="s">
        <v>57</v>
      </c>
    </row>
    <row r="2" customFormat="false" ht="15" hidden="false" customHeight="false" outlineLevel="0" collapsed="false">
      <c r="A2" s="7" t="s">
        <v>58</v>
      </c>
      <c r="B2" s="7" t="s">
        <v>59</v>
      </c>
    </row>
    <row r="3" customFormat="false" ht="15" hidden="false" customHeight="false" outlineLevel="0" collapsed="false">
      <c r="A3" s="7" t="s">
        <v>60</v>
      </c>
      <c r="B3" s="7" t="s">
        <v>61</v>
      </c>
    </row>
    <row r="4" customFormat="false" ht="15" hidden="false" customHeight="false" outlineLevel="0" collapsed="false">
      <c r="A4" s="7" t="s">
        <v>62</v>
      </c>
      <c r="B4" s="7" t="s">
        <v>63</v>
      </c>
    </row>
    <row r="5" customFormat="false" ht="15" hidden="false" customHeight="false" outlineLevel="0" collapsed="false">
      <c r="A5" s="7" t="s">
        <v>64</v>
      </c>
      <c r="B5" s="7" t="s">
        <v>65</v>
      </c>
    </row>
    <row r="6" customFormat="false" ht="15" hidden="false" customHeight="false" outlineLevel="0" collapsed="false">
      <c r="A6" s="7" t="s">
        <v>66</v>
      </c>
      <c r="B6" s="7" t="s">
        <v>67</v>
      </c>
    </row>
    <row r="7" customFormat="false" ht="15" hidden="false" customHeight="false" outlineLevel="0" collapsed="false">
      <c r="A7" s="7" t="s">
        <v>68</v>
      </c>
      <c r="B7" s="7" t="s">
        <v>69</v>
      </c>
    </row>
    <row r="8" customFormat="false" ht="15" hidden="false" customHeight="false" outlineLevel="0" collapsed="false">
      <c r="A8" s="7" t="s">
        <v>70</v>
      </c>
      <c r="B8" s="7" t="s">
        <v>71</v>
      </c>
    </row>
    <row r="9" customFormat="false" ht="15" hidden="false" customHeight="false" outlineLevel="0" collapsed="false">
      <c r="A9" s="7" t="s">
        <v>72</v>
      </c>
      <c r="B9" s="7" t="s">
        <v>73</v>
      </c>
    </row>
    <row r="10" customFormat="false" ht="15" hidden="false" customHeight="false" outlineLevel="0" collapsed="false">
      <c r="A10" s="7" t="s">
        <v>74</v>
      </c>
      <c r="B10" s="7" t="s">
        <v>75</v>
      </c>
    </row>
    <row r="11" customFormat="false" ht="15" hidden="false" customHeight="false" outlineLevel="0" collapsed="false">
      <c r="A11" s="7" t="s">
        <v>76</v>
      </c>
      <c r="B11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9"/>
  </cols>
  <sheetData>
    <row r="1" customFormat="false" ht="15" hidden="false" customHeight="false" outlineLevel="0" collapsed="false">
      <c r="A1" s="3" t="s">
        <v>78</v>
      </c>
      <c r="B1" s="3" t="s">
        <v>79</v>
      </c>
      <c r="C1" s="3" t="s">
        <v>80</v>
      </c>
      <c r="D1" s="3" t="s">
        <v>81</v>
      </c>
      <c r="E1" s="3" t="s">
        <v>82</v>
      </c>
      <c r="F1" s="3" t="s">
        <v>2</v>
      </c>
    </row>
    <row r="2" customFormat="false" ht="15" hidden="false" customHeight="false" outlineLevel="0" collapsed="false">
      <c r="A2" s="7" t="s">
        <v>83</v>
      </c>
      <c r="B2" s="7" t="s">
        <v>84</v>
      </c>
      <c r="C2" s="7" t="s">
        <v>85</v>
      </c>
      <c r="D2" s="7" t="s">
        <v>86</v>
      </c>
      <c r="E2" s="7" t="s">
        <v>86</v>
      </c>
      <c r="F2" s="7" t="s">
        <v>87</v>
      </c>
    </row>
    <row r="3" customFormat="false" ht="15" hidden="false" customHeight="false" outlineLevel="0" collapsed="false">
      <c r="A3" s="7" t="s">
        <v>88</v>
      </c>
      <c r="B3" s="7" t="s">
        <v>84</v>
      </c>
      <c r="C3" s="7" t="s">
        <v>89</v>
      </c>
      <c r="D3" s="7" t="s">
        <v>86</v>
      </c>
      <c r="E3" s="7" t="s">
        <v>86</v>
      </c>
      <c r="F3" s="7" t="s">
        <v>87</v>
      </c>
    </row>
    <row r="4" customFormat="false" ht="15" hidden="false" customHeight="false" outlineLevel="0" collapsed="false">
      <c r="A4" s="7" t="s">
        <v>90</v>
      </c>
      <c r="B4" s="7" t="s">
        <v>84</v>
      </c>
      <c r="C4" s="7" t="s">
        <v>91</v>
      </c>
      <c r="D4" s="7" t="s">
        <v>86</v>
      </c>
      <c r="E4" s="7" t="s">
        <v>86</v>
      </c>
      <c r="F4" s="7" t="s">
        <v>87</v>
      </c>
    </row>
    <row r="5" customFormat="false" ht="15" hidden="false" customHeight="false" outlineLevel="0" collapsed="false">
      <c r="A5" s="7" t="s">
        <v>92</v>
      </c>
      <c r="B5" s="7" t="s">
        <v>84</v>
      </c>
      <c r="C5" s="7" t="s">
        <v>93</v>
      </c>
      <c r="D5" s="7" t="s">
        <v>86</v>
      </c>
      <c r="E5" s="7" t="s">
        <v>86</v>
      </c>
      <c r="F5" s="7" t="s">
        <v>87</v>
      </c>
    </row>
    <row r="6" customFormat="false" ht="15" hidden="false" customHeight="false" outlineLevel="0" collapsed="false">
      <c r="A6" s="7" t="s">
        <v>94</v>
      </c>
      <c r="B6" s="7" t="s">
        <v>84</v>
      </c>
      <c r="C6" s="7" t="s">
        <v>95</v>
      </c>
      <c r="D6" s="7" t="s">
        <v>86</v>
      </c>
      <c r="E6" s="7" t="s">
        <v>86</v>
      </c>
      <c r="F6" s="7" t="s">
        <v>87</v>
      </c>
    </row>
    <row r="7" customFormat="false" ht="15" hidden="false" customHeight="false" outlineLevel="0" collapsed="false">
      <c r="A7" s="7" t="s">
        <v>96</v>
      </c>
      <c r="B7" s="7" t="s">
        <v>84</v>
      </c>
      <c r="C7" s="7" t="s">
        <v>97</v>
      </c>
      <c r="D7" s="7" t="s">
        <v>98</v>
      </c>
      <c r="E7" s="7" t="s">
        <v>98</v>
      </c>
      <c r="F7" s="7" t="s">
        <v>87</v>
      </c>
    </row>
    <row r="8" customFormat="false" ht="15" hidden="false" customHeight="false" outlineLevel="0" collapsed="false">
      <c r="A8" s="7" t="s">
        <v>99</v>
      </c>
      <c r="B8" s="7" t="s">
        <v>84</v>
      </c>
      <c r="C8" s="7" t="s">
        <v>100</v>
      </c>
      <c r="D8" s="7" t="s">
        <v>98</v>
      </c>
      <c r="E8" s="7" t="s">
        <v>98</v>
      </c>
      <c r="F8" s="7" t="s">
        <v>87</v>
      </c>
    </row>
    <row r="9" customFormat="false" ht="15" hidden="false" customHeight="false" outlineLevel="0" collapsed="false">
      <c r="A9" s="7" t="s">
        <v>101</v>
      </c>
      <c r="B9" s="7" t="s">
        <v>84</v>
      </c>
      <c r="C9" s="7" t="s">
        <v>102</v>
      </c>
      <c r="D9" s="7" t="s">
        <v>98</v>
      </c>
      <c r="E9" s="7" t="s">
        <v>98</v>
      </c>
      <c r="F9" s="7" t="s">
        <v>87</v>
      </c>
    </row>
    <row r="10" customFormat="false" ht="15" hidden="false" customHeight="false" outlineLevel="0" collapsed="false">
      <c r="A10" s="7" t="s">
        <v>103</v>
      </c>
      <c r="B10" s="7" t="s">
        <v>84</v>
      </c>
      <c r="C10" s="7" t="s">
        <v>104</v>
      </c>
      <c r="D10" s="7" t="s">
        <v>98</v>
      </c>
      <c r="E10" s="7" t="s">
        <v>98</v>
      </c>
      <c r="F10" s="7" t="s">
        <v>87</v>
      </c>
    </row>
    <row r="11" customFormat="false" ht="15" hidden="false" customHeight="false" outlineLevel="0" collapsed="false">
      <c r="A11" s="7" t="s">
        <v>105</v>
      </c>
      <c r="B11" s="7" t="s">
        <v>84</v>
      </c>
      <c r="C11" s="7" t="s">
        <v>106</v>
      </c>
      <c r="D11" s="7" t="s">
        <v>98</v>
      </c>
      <c r="E11" s="7" t="s">
        <v>98</v>
      </c>
      <c r="F11" s="7" t="s">
        <v>87</v>
      </c>
    </row>
    <row r="12" customFormat="false" ht="15" hidden="false" customHeight="false" outlineLevel="0" collapsed="false">
      <c r="A12" s="7" t="s">
        <v>107</v>
      </c>
      <c r="B12" s="7" t="s">
        <v>84</v>
      </c>
      <c r="C12" s="7" t="s">
        <v>108</v>
      </c>
      <c r="D12" s="7" t="s">
        <v>98</v>
      </c>
      <c r="E12" s="7" t="s">
        <v>98</v>
      </c>
      <c r="F12" s="7" t="s">
        <v>87</v>
      </c>
    </row>
    <row r="13" customFormat="false" ht="15" hidden="false" customHeight="false" outlineLevel="0" collapsed="false">
      <c r="A13" s="7" t="s">
        <v>109</v>
      </c>
      <c r="B13" s="7" t="s">
        <v>84</v>
      </c>
      <c r="C13" s="7" t="s">
        <v>110</v>
      </c>
      <c r="D13" s="7" t="s">
        <v>98</v>
      </c>
      <c r="E13" s="7" t="s">
        <v>98</v>
      </c>
      <c r="F13" s="7" t="s">
        <v>87</v>
      </c>
    </row>
    <row r="14" customFormat="false" ht="15" hidden="false" customHeight="false" outlineLevel="0" collapsed="false">
      <c r="A14" s="7" t="s">
        <v>111</v>
      </c>
      <c r="B14" s="7" t="s">
        <v>112</v>
      </c>
      <c r="C14" s="7" t="s">
        <v>113</v>
      </c>
      <c r="D14" s="7" t="s">
        <v>114</v>
      </c>
      <c r="E14" s="7" t="s">
        <v>114</v>
      </c>
      <c r="F14" s="7" t="s">
        <v>87</v>
      </c>
    </row>
    <row r="15" customFormat="false" ht="15" hidden="false" customHeight="false" outlineLevel="0" collapsed="false">
      <c r="A15" s="7" t="s">
        <v>115</v>
      </c>
      <c r="B15" s="7" t="s">
        <v>112</v>
      </c>
      <c r="C15" s="7" t="s">
        <v>116</v>
      </c>
      <c r="D15" s="7" t="s">
        <v>117</v>
      </c>
      <c r="E15" s="7" t="s">
        <v>117</v>
      </c>
      <c r="F15" s="7" t="s">
        <v>87</v>
      </c>
    </row>
    <row r="16" customFormat="false" ht="15" hidden="false" customHeight="false" outlineLevel="0" collapsed="false">
      <c r="A16" s="7" t="s">
        <v>118</v>
      </c>
      <c r="B16" s="7" t="s">
        <v>112</v>
      </c>
      <c r="C16" s="7" t="s">
        <v>119</v>
      </c>
      <c r="D16" s="7" t="s">
        <v>117</v>
      </c>
      <c r="E16" s="7" t="s">
        <v>117</v>
      </c>
      <c r="F16" s="7" t="s">
        <v>87</v>
      </c>
    </row>
    <row r="17" customFormat="false" ht="15" hidden="false" customHeight="false" outlineLevel="0" collapsed="false">
      <c r="A17" s="7" t="s">
        <v>120</v>
      </c>
      <c r="B17" s="7" t="s">
        <v>112</v>
      </c>
      <c r="C17" s="7" t="s">
        <v>121</v>
      </c>
      <c r="D17" s="7" t="s">
        <v>114</v>
      </c>
      <c r="E17" s="7" t="s">
        <v>114</v>
      </c>
      <c r="F17" s="7" t="s">
        <v>87</v>
      </c>
    </row>
    <row r="18" customFormat="false" ht="15" hidden="false" customHeight="false" outlineLevel="0" collapsed="false">
      <c r="A18" s="7" t="s">
        <v>122</v>
      </c>
      <c r="B18" s="7" t="s">
        <v>58</v>
      </c>
      <c r="C18" s="7" t="s">
        <v>123</v>
      </c>
      <c r="D18" s="7" t="s">
        <v>124</v>
      </c>
      <c r="E18" s="7" t="s">
        <v>124</v>
      </c>
      <c r="F18" s="7" t="s">
        <v>87</v>
      </c>
    </row>
    <row r="19" customFormat="false" ht="15" hidden="false" customHeight="false" outlineLevel="0" collapsed="false">
      <c r="A19" s="7" t="s">
        <v>125</v>
      </c>
      <c r="B19" s="7" t="s">
        <v>58</v>
      </c>
      <c r="C19" s="7" t="s">
        <v>126</v>
      </c>
      <c r="D19" s="7" t="s">
        <v>124</v>
      </c>
      <c r="E19" s="7" t="s">
        <v>124</v>
      </c>
      <c r="F19" s="7" t="s">
        <v>87</v>
      </c>
    </row>
    <row r="20" customFormat="false" ht="15" hidden="false" customHeight="false" outlineLevel="0" collapsed="false">
      <c r="A20" s="7" t="s">
        <v>127</v>
      </c>
      <c r="B20" s="7" t="s">
        <v>60</v>
      </c>
      <c r="C20" s="7" t="s">
        <v>128</v>
      </c>
      <c r="D20" s="7" t="s">
        <v>129</v>
      </c>
      <c r="E20" s="7" t="s">
        <v>129</v>
      </c>
      <c r="F20" s="7" t="s">
        <v>87</v>
      </c>
    </row>
    <row r="21" customFormat="false" ht="15" hidden="false" customHeight="false" outlineLevel="0" collapsed="false">
      <c r="A21" s="7" t="s">
        <v>130</v>
      </c>
      <c r="B21" s="7" t="s">
        <v>60</v>
      </c>
      <c r="C21" s="7" t="s">
        <v>131</v>
      </c>
      <c r="D21" s="7" t="s">
        <v>132</v>
      </c>
      <c r="E21" s="7" t="s">
        <v>132</v>
      </c>
      <c r="F21" s="7" t="s">
        <v>87</v>
      </c>
    </row>
    <row r="22" customFormat="false" ht="15" hidden="false" customHeight="false" outlineLevel="0" collapsed="false">
      <c r="A22" s="7" t="s">
        <v>133</v>
      </c>
      <c r="B22" s="7" t="s">
        <v>68</v>
      </c>
      <c r="C22" s="7" t="s">
        <v>134</v>
      </c>
      <c r="D22" s="7" t="s">
        <v>135</v>
      </c>
      <c r="E22" s="7" t="s">
        <v>135</v>
      </c>
      <c r="F22" s="7" t="s">
        <v>87</v>
      </c>
    </row>
    <row r="23" customFormat="false" ht="15" hidden="false" customHeight="false" outlineLevel="0" collapsed="false">
      <c r="A23" s="7" t="s">
        <v>136</v>
      </c>
      <c r="B23" s="7" t="s">
        <v>68</v>
      </c>
      <c r="C23" s="7" t="s">
        <v>137</v>
      </c>
      <c r="D23" s="7" t="s">
        <v>132</v>
      </c>
      <c r="E23" s="7" t="s">
        <v>132</v>
      </c>
      <c r="F23" s="7" t="s">
        <v>87</v>
      </c>
    </row>
    <row r="24" customFormat="false" ht="15" hidden="false" customHeight="false" outlineLevel="0" collapsed="false">
      <c r="A24" s="7" t="s">
        <v>138</v>
      </c>
      <c r="B24" s="7" t="s">
        <v>62</v>
      </c>
      <c r="C24" s="7" t="s">
        <v>139</v>
      </c>
      <c r="D24" s="7" t="s">
        <v>132</v>
      </c>
      <c r="E24" s="7" t="s">
        <v>132</v>
      </c>
      <c r="F24" s="7" t="s">
        <v>87</v>
      </c>
    </row>
    <row r="25" customFormat="false" ht="15" hidden="false" customHeight="false" outlineLevel="0" collapsed="false">
      <c r="A25" s="7" t="s">
        <v>140</v>
      </c>
      <c r="B25" s="7" t="s">
        <v>141</v>
      </c>
      <c r="C25" s="7" t="s">
        <v>142</v>
      </c>
      <c r="D25" s="7" t="s">
        <v>124</v>
      </c>
      <c r="E25" s="7" t="s">
        <v>124</v>
      </c>
      <c r="F25" s="7" t="s">
        <v>87</v>
      </c>
    </row>
    <row r="26" customFormat="false" ht="15" hidden="false" customHeight="false" outlineLevel="0" collapsed="false">
      <c r="A26" s="7" t="s">
        <v>143</v>
      </c>
      <c r="B26" s="7" t="s">
        <v>144</v>
      </c>
      <c r="C26" s="7" t="s">
        <v>145</v>
      </c>
      <c r="D26" s="7" t="s">
        <v>146</v>
      </c>
      <c r="E26" s="7" t="s">
        <v>146</v>
      </c>
      <c r="F26" s="7" t="s">
        <v>87</v>
      </c>
    </row>
    <row r="27" customFormat="false" ht="15" hidden="false" customHeight="false" outlineLevel="0" collapsed="false">
      <c r="A27" s="7" t="s">
        <v>147</v>
      </c>
      <c r="B27" s="7" t="s">
        <v>144</v>
      </c>
      <c r="C27" s="7" t="s">
        <v>148</v>
      </c>
      <c r="D27" s="7" t="s">
        <v>146</v>
      </c>
      <c r="E27" s="7" t="s">
        <v>146</v>
      </c>
      <c r="F27" s="7" t="s">
        <v>87</v>
      </c>
    </row>
    <row r="28" customFormat="false" ht="15" hidden="false" customHeight="false" outlineLevel="0" collapsed="false">
      <c r="A28" s="7" t="s">
        <v>149</v>
      </c>
      <c r="B28" s="7" t="s">
        <v>144</v>
      </c>
      <c r="C28" s="7" t="s">
        <v>150</v>
      </c>
      <c r="D28" s="7" t="s">
        <v>146</v>
      </c>
      <c r="E28" s="7" t="s">
        <v>146</v>
      </c>
      <c r="F28" s="7" t="s">
        <v>87</v>
      </c>
    </row>
    <row r="29" customFormat="false" ht="15" hidden="false" customHeight="false" outlineLevel="0" collapsed="false">
      <c r="A29" s="7" t="s">
        <v>151</v>
      </c>
      <c r="B29" s="7" t="s">
        <v>152</v>
      </c>
      <c r="C29" s="7" t="s">
        <v>153</v>
      </c>
      <c r="D29" s="7" t="s">
        <v>129</v>
      </c>
      <c r="E29" s="7" t="s">
        <v>129</v>
      </c>
      <c r="F29" s="7" t="s">
        <v>87</v>
      </c>
    </row>
    <row r="30" customFormat="false" ht="15" hidden="false" customHeight="false" outlineLevel="0" collapsed="false">
      <c r="A30" s="7" t="s">
        <v>154</v>
      </c>
      <c r="B30" s="7" t="s">
        <v>70</v>
      </c>
      <c r="C30" s="7" t="s">
        <v>155</v>
      </c>
      <c r="D30" s="7" t="s">
        <v>13</v>
      </c>
      <c r="E30" s="7" t="s">
        <v>13</v>
      </c>
      <c r="F30" s="7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70"/>
  </cols>
  <sheetData>
    <row r="1" customFormat="false" ht="26.85" hidden="false" customHeight="false" outlineLevel="0" collapsed="false">
      <c r="A1" s="3" t="s">
        <v>156</v>
      </c>
      <c r="B1" s="3" t="s">
        <v>157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2</v>
      </c>
      <c r="H1" s="3" t="s">
        <v>21</v>
      </c>
    </row>
    <row r="2" customFormat="false" ht="15" hidden="false" customHeight="false" outlineLevel="0" collapsed="false">
      <c r="A2" s="7" t="s">
        <v>162</v>
      </c>
      <c r="B2" s="7" t="s">
        <v>163</v>
      </c>
      <c r="C2" s="8" t="n">
        <v>46325.4166666667</v>
      </c>
      <c r="D2" s="7" t="s">
        <v>164</v>
      </c>
      <c r="E2" s="7" t="s">
        <v>165</v>
      </c>
      <c r="F2" s="7" t="n">
        <v>1</v>
      </c>
      <c r="G2" s="7" t="s">
        <v>6</v>
      </c>
      <c r="H2" s="7" t="s">
        <v>166</v>
      </c>
    </row>
    <row r="3" customFormat="false" ht="15" hidden="false" customHeight="false" outlineLevel="0" collapsed="false">
      <c r="A3" s="7" t="s">
        <v>167</v>
      </c>
      <c r="B3" s="7" t="s">
        <v>163</v>
      </c>
      <c r="C3" s="8" t="n">
        <v>46325.4166666667</v>
      </c>
      <c r="D3" s="7" t="s">
        <v>168</v>
      </c>
      <c r="E3" s="7" t="s">
        <v>169</v>
      </c>
      <c r="F3" s="7" t="n">
        <v>1</v>
      </c>
      <c r="G3" s="7" t="s">
        <v>7</v>
      </c>
      <c r="H3" s="7"/>
    </row>
    <row r="4" customFormat="false" ht="15" hidden="false" customHeight="false" outlineLevel="0" collapsed="false">
      <c r="A4" s="7" t="s">
        <v>170</v>
      </c>
      <c r="B4" s="7" t="s">
        <v>163</v>
      </c>
      <c r="C4" s="8" t="n">
        <v>46325.4166666667</v>
      </c>
      <c r="D4" s="7" t="s">
        <v>171</v>
      </c>
      <c r="E4" s="7" t="s">
        <v>172</v>
      </c>
      <c r="F4" s="7" t="n">
        <v>1</v>
      </c>
      <c r="G4" s="7" t="s">
        <v>8</v>
      </c>
      <c r="H4" s="7"/>
    </row>
    <row r="5" customFormat="false" ht="15" hidden="false" customHeight="false" outlineLevel="0" collapsed="false">
      <c r="A5" s="7" t="s">
        <v>173</v>
      </c>
      <c r="B5" s="7" t="s">
        <v>163</v>
      </c>
      <c r="C5" s="8" t="n">
        <v>46325.4166666667</v>
      </c>
      <c r="D5" s="7" t="s">
        <v>174</v>
      </c>
      <c r="E5" s="7" t="s">
        <v>175</v>
      </c>
      <c r="F5" s="7" t="n">
        <v>1</v>
      </c>
      <c r="G5" s="7" t="s">
        <v>9</v>
      </c>
      <c r="H5" s="7"/>
    </row>
    <row r="6" customFormat="false" ht="15" hidden="false" customHeight="false" outlineLevel="0" collapsed="false">
      <c r="A6" s="7" t="s">
        <v>176</v>
      </c>
      <c r="B6" s="7" t="s">
        <v>163</v>
      </c>
      <c r="C6" s="8" t="n">
        <v>46325.4166666667</v>
      </c>
      <c r="D6" s="7" t="s">
        <v>177</v>
      </c>
      <c r="E6" s="7" t="s">
        <v>178</v>
      </c>
      <c r="F6" s="7" t="n">
        <v>1</v>
      </c>
      <c r="G6" s="7" t="s">
        <v>10</v>
      </c>
      <c r="H6" s="7" t="s">
        <v>179</v>
      </c>
    </row>
    <row r="7" customFormat="false" ht="15" hidden="false" customHeight="false" outlineLevel="0" collapsed="false">
      <c r="A7" s="7" t="s">
        <v>180</v>
      </c>
      <c r="B7" s="7" t="s">
        <v>163</v>
      </c>
      <c r="C7" s="8" t="n">
        <v>46325.4166666667</v>
      </c>
      <c r="D7" s="7" t="s">
        <v>181</v>
      </c>
      <c r="E7" s="7" t="s">
        <v>182</v>
      </c>
      <c r="F7" s="7" t="n">
        <v>1</v>
      </c>
      <c r="G7" s="7" t="s">
        <v>11</v>
      </c>
      <c r="H7" s="7" t="s">
        <v>183</v>
      </c>
    </row>
    <row r="8" customFormat="false" ht="15" hidden="false" customHeight="false" outlineLevel="0" collapsed="false">
      <c r="A8" s="7" t="s">
        <v>184</v>
      </c>
      <c r="B8" s="7" t="s">
        <v>163</v>
      </c>
      <c r="C8" s="8" t="n">
        <v>46325.4166666667</v>
      </c>
      <c r="D8" s="7" t="s">
        <v>185</v>
      </c>
      <c r="E8" s="7" t="s">
        <v>186</v>
      </c>
      <c r="F8" s="7" t="n">
        <v>1</v>
      </c>
      <c r="G8" s="7" t="s">
        <v>12</v>
      </c>
      <c r="H8" s="7" t="s">
        <v>187</v>
      </c>
    </row>
    <row r="9" customFormat="false" ht="15" hidden="false" customHeight="false" outlineLevel="0" collapsed="false">
      <c r="A9" s="7" t="s">
        <v>188</v>
      </c>
      <c r="B9" s="7" t="s">
        <v>163</v>
      </c>
      <c r="C9" s="8" t="n">
        <v>46325.4166666667</v>
      </c>
      <c r="D9" s="7" t="s">
        <v>189</v>
      </c>
      <c r="E9" s="7" t="s">
        <v>190</v>
      </c>
      <c r="F9" s="7" t="n">
        <v>1</v>
      </c>
      <c r="G9" s="7" t="s">
        <v>12</v>
      </c>
      <c r="H9" s="7" t="s">
        <v>191</v>
      </c>
    </row>
    <row r="10" customFormat="false" ht="15" hidden="false" customHeight="false" outlineLevel="0" collapsed="false">
      <c r="A10" s="7" t="s">
        <v>192</v>
      </c>
      <c r="B10" s="7" t="s">
        <v>163</v>
      </c>
      <c r="C10" s="8" t="n">
        <v>46325.4166666667</v>
      </c>
      <c r="D10" s="7" t="s">
        <v>193</v>
      </c>
      <c r="E10" s="7" t="s">
        <v>194</v>
      </c>
      <c r="F10" s="7" t="n">
        <v>0</v>
      </c>
      <c r="G10" s="7" t="s">
        <v>13</v>
      </c>
      <c r="H10" s="7" t="s">
        <v>195</v>
      </c>
    </row>
    <row r="11" customFormat="false" ht="15" hidden="false" customHeight="false" outlineLevel="0" collapsed="false">
      <c r="A11" s="7" t="s">
        <v>196</v>
      </c>
      <c r="B11" s="7" t="s">
        <v>163</v>
      </c>
      <c r="C11" s="8" t="n">
        <v>46325.4166666667</v>
      </c>
      <c r="D11" s="7" t="s">
        <v>197</v>
      </c>
      <c r="E11" s="7" t="s">
        <v>198</v>
      </c>
      <c r="F11" s="7" t="n">
        <v>0</v>
      </c>
      <c r="G11" s="7" t="s">
        <v>13</v>
      </c>
      <c r="H11" s="7" t="s">
        <v>199</v>
      </c>
    </row>
    <row r="12" customFormat="false" ht="15" hidden="false" customHeight="false" outlineLevel="0" collapsed="false">
      <c r="A12" s="7" t="s">
        <v>200</v>
      </c>
      <c r="B12" s="7" t="s">
        <v>163</v>
      </c>
      <c r="C12" s="8" t="n">
        <v>46325.6041666667</v>
      </c>
      <c r="D12" s="7" t="s">
        <v>168</v>
      </c>
      <c r="E12" s="7" t="s">
        <v>169</v>
      </c>
      <c r="F12" s="7" t="n">
        <v>2</v>
      </c>
      <c r="G12" s="7" t="s">
        <v>7</v>
      </c>
      <c r="H12" s="7"/>
    </row>
    <row r="13" customFormat="false" ht="15" hidden="false" customHeight="false" outlineLevel="0" collapsed="false">
      <c r="A13" s="7" t="s">
        <v>201</v>
      </c>
      <c r="B13" s="7" t="s">
        <v>163</v>
      </c>
      <c r="C13" s="8" t="n">
        <v>46325.6041666667</v>
      </c>
      <c r="D13" s="7" t="s">
        <v>171</v>
      </c>
      <c r="E13" s="7" t="s">
        <v>172</v>
      </c>
      <c r="F13" s="7" t="n">
        <v>2</v>
      </c>
      <c r="G13" s="7" t="s">
        <v>11</v>
      </c>
      <c r="H13" s="7" t="s">
        <v>183</v>
      </c>
    </row>
    <row r="14" customFormat="false" ht="15" hidden="false" customHeight="false" outlineLevel="0" collapsed="false">
      <c r="A14" s="7" t="s">
        <v>202</v>
      </c>
      <c r="B14" s="7" t="s">
        <v>163</v>
      </c>
      <c r="C14" s="8" t="n">
        <v>46325.7916666667</v>
      </c>
      <c r="D14" s="7" t="s">
        <v>168</v>
      </c>
      <c r="E14" s="7" t="s">
        <v>169</v>
      </c>
      <c r="F14" s="7" t="n">
        <v>3</v>
      </c>
      <c r="G14" s="7" t="s">
        <v>7</v>
      </c>
      <c r="H14" s="7"/>
    </row>
    <row r="15" customFormat="false" ht="15" hidden="false" customHeight="false" outlineLevel="0" collapsed="false">
      <c r="A15" s="7" t="s">
        <v>203</v>
      </c>
      <c r="B15" s="7" t="s">
        <v>204</v>
      </c>
      <c r="C15" s="8" t="n">
        <v>46325.4166666667</v>
      </c>
      <c r="D15" s="7" t="s">
        <v>205</v>
      </c>
      <c r="E15" s="7" t="s">
        <v>206</v>
      </c>
      <c r="F15" s="7" t="n">
        <v>1</v>
      </c>
      <c r="G15" s="7" t="s">
        <v>11</v>
      </c>
      <c r="H15" s="7" t="s">
        <v>183</v>
      </c>
    </row>
    <row r="16" customFormat="false" ht="15" hidden="false" customHeight="false" outlineLevel="0" collapsed="false">
      <c r="A16" s="7" t="s">
        <v>207</v>
      </c>
      <c r="B16" s="7" t="s">
        <v>204</v>
      </c>
      <c r="C16" s="8" t="n">
        <v>46325.4166666667</v>
      </c>
      <c r="D16" s="7" t="s">
        <v>208</v>
      </c>
      <c r="E16" s="7" t="s">
        <v>209</v>
      </c>
      <c r="F16" s="7" t="n">
        <v>1</v>
      </c>
      <c r="G16" s="7" t="s">
        <v>7</v>
      </c>
      <c r="H16" s="7"/>
    </row>
    <row r="17" customFormat="false" ht="15" hidden="false" customHeight="false" outlineLevel="0" collapsed="false">
      <c r="A17" s="7" t="s">
        <v>210</v>
      </c>
      <c r="B17" s="7" t="s">
        <v>204</v>
      </c>
      <c r="C17" s="8" t="n">
        <v>46325.4166666667</v>
      </c>
      <c r="D17" s="7" t="s">
        <v>211</v>
      </c>
      <c r="E17" s="7" t="s">
        <v>212</v>
      </c>
      <c r="F17" s="7" t="n">
        <v>1</v>
      </c>
      <c r="G17" s="7" t="s">
        <v>8</v>
      </c>
      <c r="H17" s="7"/>
    </row>
    <row r="18" customFormat="false" ht="15" hidden="false" customHeight="false" outlineLevel="0" collapsed="false">
      <c r="A18" s="7" t="s">
        <v>213</v>
      </c>
      <c r="B18" s="7" t="s">
        <v>204</v>
      </c>
      <c r="C18" s="8" t="n">
        <v>46325.4166666667</v>
      </c>
      <c r="D18" s="7" t="s">
        <v>214</v>
      </c>
      <c r="E18" s="7" t="s">
        <v>215</v>
      </c>
      <c r="F18" s="7" t="n">
        <v>0</v>
      </c>
      <c r="G18" s="7" t="s">
        <v>13</v>
      </c>
      <c r="H18" s="7" t="s">
        <v>216</v>
      </c>
    </row>
    <row r="19" customFormat="false" ht="15" hidden="false" customHeight="false" outlineLevel="0" collapsed="false">
      <c r="A19" s="7" t="s">
        <v>217</v>
      </c>
      <c r="B19" s="7" t="s">
        <v>204</v>
      </c>
      <c r="C19" s="8" t="n">
        <v>46325.6041666667</v>
      </c>
      <c r="D19" s="7" t="s">
        <v>208</v>
      </c>
      <c r="E19" s="7" t="s">
        <v>209</v>
      </c>
      <c r="F19" s="7" t="n">
        <v>2</v>
      </c>
      <c r="G19" s="7" t="s">
        <v>10</v>
      </c>
      <c r="H19" s="7" t="s">
        <v>179</v>
      </c>
    </row>
    <row r="20" customFormat="false" ht="15" hidden="false" customHeight="false" outlineLevel="0" collapsed="false">
      <c r="A20" s="7" t="s">
        <v>218</v>
      </c>
      <c r="B20" s="7" t="s">
        <v>204</v>
      </c>
      <c r="C20" s="8" t="n">
        <v>46325.6041666667</v>
      </c>
      <c r="D20" s="7" t="s">
        <v>211</v>
      </c>
      <c r="E20" s="7" t="s">
        <v>212</v>
      </c>
      <c r="F20" s="7" t="n">
        <v>2</v>
      </c>
      <c r="G20" s="7" t="s">
        <v>11</v>
      </c>
      <c r="H20" s="7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4" min="3" style="0" width="9"/>
    <col collapsed="false" customWidth="true" hidden="false" outlineLevel="0" max="5" min="5" style="0" width="20"/>
    <col collapsed="false" customWidth="true" hidden="false" outlineLevel="0" max="6" min="6" style="0" width="55"/>
    <col collapsed="false" customWidth="true" hidden="false" outlineLevel="0" max="7" min="7" style="0" width="50"/>
  </cols>
  <sheetData>
    <row r="1" customFormat="false" ht="26.85" hidden="false" customHeight="false" outlineLevel="0" collapsed="false">
      <c r="A1" s="3" t="s">
        <v>159</v>
      </c>
      <c r="B1" s="3" t="s">
        <v>219</v>
      </c>
      <c r="C1" s="3" t="s">
        <v>220</v>
      </c>
      <c r="D1" s="3" t="s">
        <v>221</v>
      </c>
      <c r="E1" s="3" t="s">
        <v>222</v>
      </c>
      <c r="F1" s="3" t="s">
        <v>223</v>
      </c>
      <c r="G1" s="3" t="s">
        <v>224</v>
      </c>
    </row>
    <row r="2" customFormat="false" ht="15" hidden="false" customHeight="false" outlineLevel="0" collapsed="false">
      <c r="A2" s="7" t="s">
        <v>205</v>
      </c>
      <c r="B2" s="7" t="s">
        <v>225</v>
      </c>
      <c r="C2" s="7" t="s">
        <v>226</v>
      </c>
      <c r="D2" s="7" t="n">
        <v>1</v>
      </c>
      <c r="E2" s="7" t="s">
        <v>11</v>
      </c>
      <c r="F2" s="7" t="s">
        <v>183</v>
      </c>
      <c r="G2" s="7" t="s">
        <v>227</v>
      </c>
    </row>
    <row r="3" customFormat="false" ht="15" hidden="false" customHeight="false" outlineLevel="0" collapsed="false">
      <c r="A3" s="7" t="s">
        <v>208</v>
      </c>
      <c r="B3" s="7" t="s">
        <v>225</v>
      </c>
      <c r="C3" s="7" t="s">
        <v>228</v>
      </c>
      <c r="D3" s="7" t="n">
        <v>2</v>
      </c>
      <c r="E3" s="7" t="s">
        <v>10</v>
      </c>
      <c r="F3" s="7" t="s">
        <v>179</v>
      </c>
      <c r="G3" s="7" t="s">
        <v>229</v>
      </c>
    </row>
    <row r="4" customFormat="false" ht="15" hidden="false" customHeight="false" outlineLevel="0" collapsed="false">
      <c r="A4" s="7" t="s">
        <v>211</v>
      </c>
      <c r="B4" s="7" t="s">
        <v>225</v>
      </c>
      <c r="C4" s="7" t="s">
        <v>230</v>
      </c>
      <c r="D4" s="7" t="n">
        <v>2</v>
      </c>
      <c r="E4" s="7" t="s">
        <v>11</v>
      </c>
      <c r="F4" s="7" t="s">
        <v>183</v>
      </c>
      <c r="G4" s="7" t="s">
        <v>227</v>
      </c>
    </row>
    <row r="5" customFormat="false" ht="15" hidden="false" customHeight="false" outlineLevel="0" collapsed="false">
      <c r="A5" s="7" t="s">
        <v>214</v>
      </c>
      <c r="B5" s="7" t="s">
        <v>231</v>
      </c>
      <c r="C5" s="7" t="s">
        <v>226</v>
      </c>
      <c r="D5" s="7" t="n">
        <v>0</v>
      </c>
      <c r="E5" s="7" t="s">
        <v>13</v>
      </c>
      <c r="F5" s="7" t="s">
        <v>216</v>
      </c>
      <c r="G5" s="7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48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3" t="s">
        <v>159</v>
      </c>
      <c r="B1" s="3" t="s">
        <v>233</v>
      </c>
      <c r="C1" s="3" t="s">
        <v>234</v>
      </c>
      <c r="D1" s="3" t="s">
        <v>235</v>
      </c>
      <c r="E1" s="3" t="s">
        <v>236</v>
      </c>
      <c r="F1" s="3" t="s">
        <v>237</v>
      </c>
    </row>
    <row r="2" customFormat="false" ht="15" hidden="false" customHeight="false" outlineLevel="0" collapsed="false">
      <c r="A2" s="7" t="s">
        <v>164</v>
      </c>
      <c r="B2" s="7" t="s">
        <v>238</v>
      </c>
      <c r="C2" s="7" t="s">
        <v>239</v>
      </c>
      <c r="D2" s="7" t="s">
        <v>240</v>
      </c>
      <c r="E2" s="7" t="s">
        <v>241</v>
      </c>
      <c r="F2" s="7" t="s">
        <v>242</v>
      </c>
    </row>
    <row r="3" customFormat="false" ht="15" hidden="false" customHeight="false" outlineLevel="0" collapsed="false">
      <c r="A3" s="7" t="s">
        <v>168</v>
      </c>
      <c r="B3" s="7" t="s">
        <v>238</v>
      </c>
      <c r="C3" s="7" t="s">
        <v>239</v>
      </c>
      <c r="D3" s="7" t="s">
        <v>240</v>
      </c>
      <c r="E3" s="7" t="s">
        <v>241</v>
      </c>
      <c r="F3" s="7" t="s">
        <v>242</v>
      </c>
    </row>
    <row r="4" customFormat="false" ht="15" hidden="false" customHeight="false" outlineLevel="0" collapsed="false">
      <c r="A4" s="7" t="s">
        <v>171</v>
      </c>
      <c r="B4" s="7" t="s">
        <v>238</v>
      </c>
      <c r="C4" s="7" t="s">
        <v>239</v>
      </c>
      <c r="D4" s="7" t="s">
        <v>240</v>
      </c>
      <c r="E4" s="7" t="s">
        <v>241</v>
      </c>
      <c r="F4" s="7" t="s">
        <v>242</v>
      </c>
    </row>
    <row r="5" customFormat="false" ht="15" hidden="false" customHeight="false" outlineLevel="0" collapsed="false">
      <c r="A5" s="7" t="s">
        <v>174</v>
      </c>
      <c r="B5" s="7" t="s">
        <v>238</v>
      </c>
      <c r="C5" s="7" t="s">
        <v>239</v>
      </c>
      <c r="D5" s="7" t="s">
        <v>240</v>
      </c>
      <c r="E5" s="7" t="s">
        <v>241</v>
      </c>
      <c r="F5" s="7" t="s">
        <v>242</v>
      </c>
    </row>
    <row r="6" customFormat="false" ht="15" hidden="false" customHeight="false" outlineLevel="0" collapsed="false">
      <c r="A6" s="7" t="s">
        <v>177</v>
      </c>
      <c r="B6" s="7" t="s">
        <v>238</v>
      </c>
      <c r="C6" s="7" t="s">
        <v>239</v>
      </c>
      <c r="D6" s="7" t="s">
        <v>240</v>
      </c>
      <c r="E6" s="7" t="s">
        <v>241</v>
      </c>
      <c r="F6" s="7" t="s">
        <v>242</v>
      </c>
    </row>
    <row r="7" customFormat="false" ht="15" hidden="false" customHeight="false" outlineLevel="0" collapsed="false">
      <c r="A7" s="7" t="s">
        <v>181</v>
      </c>
      <c r="B7" s="7" t="s">
        <v>238</v>
      </c>
      <c r="C7" s="7" t="s">
        <v>239</v>
      </c>
      <c r="D7" s="7" t="s">
        <v>240</v>
      </c>
      <c r="E7" s="7" t="s">
        <v>241</v>
      </c>
      <c r="F7" s="7" t="s">
        <v>242</v>
      </c>
    </row>
    <row r="8" customFormat="false" ht="15" hidden="false" customHeight="false" outlineLevel="0" collapsed="false">
      <c r="A8" s="7" t="s">
        <v>185</v>
      </c>
      <c r="B8" s="7" t="s">
        <v>238</v>
      </c>
      <c r="C8" s="7" t="s">
        <v>239</v>
      </c>
      <c r="D8" s="7" t="s">
        <v>240</v>
      </c>
      <c r="E8" s="7" t="s">
        <v>241</v>
      </c>
      <c r="F8" s="7" t="s">
        <v>242</v>
      </c>
    </row>
    <row r="9" customFormat="false" ht="15" hidden="false" customHeight="false" outlineLevel="0" collapsed="false">
      <c r="A9" s="7" t="s">
        <v>189</v>
      </c>
      <c r="B9" s="7" t="s">
        <v>238</v>
      </c>
      <c r="C9" s="7" t="s">
        <v>239</v>
      </c>
      <c r="D9" s="7" t="s">
        <v>240</v>
      </c>
      <c r="E9" s="7" t="s">
        <v>241</v>
      </c>
      <c r="F9" s="7" t="s">
        <v>242</v>
      </c>
    </row>
    <row r="10" customFormat="false" ht="15" hidden="false" customHeight="false" outlineLevel="0" collapsed="false">
      <c r="A10" s="7" t="s">
        <v>193</v>
      </c>
      <c r="B10" s="7" t="s">
        <v>238</v>
      </c>
      <c r="C10" s="7" t="s">
        <v>239</v>
      </c>
      <c r="D10" s="7" t="s">
        <v>240</v>
      </c>
      <c r="E10" s="7" t="s">
        <v>241</v>
      </c>
      <c r="F10" s="7" t="s">
        <v>242</v>
      </c>
    </row>
    <row r="11" customFormat="false" ht="15" hidden="false" customHeight="false" outlineLevel="0" collapsed="false">
      <c r="A11" s="7" t="s">
        <v>197</v>
      </c>
      <c r="B11" s="7" t="s">
        <v>238</v>
      </c>
      <c r="C11" s="7" t="s">
        <v>239</v>
      </c>
      <c r="D11" s="7" t="s">
        <v>240</v>
      </c>
      <c r="E11" s="7" t="s">
        <v>241</v>
      </c>
      <c r="F11" s="7" t="s">
        <v>242</v>
      </c>
    </row>
    <row r="12" customFormat="false" ht="15" hidden="false" customHeight="false" outlineLevel="0" collapsed="false">
      <c r="A12" s="7" t="s">
        <v>205</v>
      </c>
      <c r="B12" s="7" t="s">
        <v>238</v>
      </c>
      <c r="C12" s="7" t="s">
        <v>243</v>
      </c>
      <c r="D12" s="7" t="s">
        <v>244</v>
      </c>
      <c r="E12" s="7" t="s">
        <v>241</v>
      </c>
      <c r="F12" s="7" t="s">
        <v>242</v>
      </c>
    </row>
    <row r="13" customFormat="false" ht="15" hidden="false" customHeight="false" outlineLevel="0" collapsed="false">
      <c r="A13" s="7" t="s">
        <v>208</v>
      </c>
      <c r="B13" s="7" t="s">
        <v>238</v>
      </c>
      <c r="C13" s="7" t="s">
        <v>243</v>
      </c>
      <c r="D13" s="7" t="s">
        <v>244</v>
      </c>
      <c r="E13" s="7" t="s">
        <v>241</v>
      </c>
      <c r="F13" s="7" t="s">
        <v>242</v>
      </c>
    </row>
    <row r="14" customFormat="false" ht="15" hidden="false" customHeight="false" outlineLevel="0" collapsed="false">
      <c r="A14" s="7" t="s">
        <v>211</v>
      </c>
      <c r="B14" s="7" t="s">
        <v>238</v>
      </c>
      <c r="C14" s="7" t="s">
        <v>243</v>
      </c>
      <c r="D14" s="7" t="s">
        <v>244</v>
      </c>
      <c r="E14" s="7" t="s">
        <v>241</v>
      </c>
      <c r="F14" s="7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3" t="s">
        <v>159</v>
      </c>
      <c r="B1" s="3" t="s">
        <v>245</v>
      </c>
      <c r="C1" s="3" t="s">
        <v>246</v>
      </c>
      <c r="D1" s="3" t="s">
        <v>247</v>
      </c>
    </row>
    <row r="2" customFormat="false" ht="15" hidden="false" customHeight="false" outlineLevel="0" collapsed="false">
      <c r="A2" s="7" t="s">
        <v>189</v>
      </c>
      <c r="B2" s="7" t="s">
        <v>190</v>
      </c>
      <c r="C2" s="7" t="s">
        <v>248</v>
      </c>
      <c r="D2" s="7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3" t="s">
        <v>159</v>
      </c>
      <c r="B1" s="3" t="s">
        <v>250</v>
      </c>
      <c r="C1" s="3" t="s">
        <v>251</v>
      </c>
      <c r="D1" s="3" t="s">
        <v>252</v>
      </c>
      <c r="E1" s="3" t="s">
        <v>253</v>
      </c>
    </row>
    <row r="2" customFormat="false" ht="15" hidden="false" customHeight="false" outlineLevel="0" collapsed="false">
      <c r="A2" s="7" t="s">
        <v>164</v>
      </c>
      <c r="B2" s="7" t="s">
        <v>254</v>
      </c>
      <c r="C2" s="8" t="n">
        <v>46325.4166666667</v>
      </c>
      <c r="D2" s="7" t="s">
        <v>255</v>
      </c>
      <c r="E2" s="7" t="s">
        <v>256</v>
      </c>
    </row>
    <row r="3" customFormat="false" ht="15" hidden="false" customHeight="false" outlineLevel="0" collapsed="false">
      <c r="A3" s="7" t="s">
        <v>177</v>
      </c>
      <c r="B3" s="7" t="s">
        <v>257</v>
      </c>
      <c r="C3" s="8" t="n">
        <v>46325.4166666667</v>
      </c>
      <c r="D3" s="7" t="s">
        <v>258</v>
      </c>
      <c r="E3" s="7" t="s">
        <v>256</v>
      </c>
    </row>
    <row r="4" customFormat="false" ht="15" hidden="false" customHeight="false" outlineLevel="0" collapsed="false">
      <c r="A4" s="7" t="s">
        <v>208</v>
      </c>
      <c r="B4" s="7" t="s">
        <v>259</v>
      </c>
      <c r="C4" s="8" t="n">
        <v>46325.6041666667</v>
      </c>
      <c r="D4" s="7" t="s">
        <v>258</v>
      </c>
      <c r="E4" s="7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2026-10-30T09:04:45Z</dcterms:created>
  <dc:creator>openpyxl</dc:creator>
  <dc:description/>
  <dc:language>en-US</dc:language>
  <cp:lastModifiedBy/>
  <dcterms:modified xsi:type="dcterms:W3CDTF">2026-10-30T09:04:45Z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