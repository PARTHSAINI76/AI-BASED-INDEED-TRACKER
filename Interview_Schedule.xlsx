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chedule" sheetId="2" state="visible" r:id="rId4"/>
    <sheet name="Messages (simulated)" sheetId="3" state="visible" r:id="rId5"/>
    <sheet name="Status History" sheetId="4" state="visible" r:id="rId6"/>
    <sheet name="Test Resul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<sst xmlns="http://schemas.openxmlformats.org/spreadsheetml/2006/main" count="245" uniqueCount="135">
  <si>
    <t xml:space="preserve">Interview Scheduling - Summary</t>
  </si>
  <si>
    <t xml:space="preserve">Generated 30-Oct-2026 14:34 IST by recruiter1. Messages are SIMULATED drafts - nothing was sent.</t>
  </si>
  <si>
    <t xml:space="preserve">Candidates processed</t>
  </si>
  <si>
    <t xml:space="preserve">Confirmation status</t>
  </si>
  <si>
    <t xml:space="preserve">Count</t>
  </si>
  <si>
    <t xml:space="preserve">Scheduled</t>
  </si>
  <si>
    <t xml:space="preserve">Confirmation Pending</t>
  </si>
  <si>
    <t xml:space="preserve">Rescheduled</t>
  </si>
  <si>
    <t xml:space="preserve">No Response</t>
  </si>
  <si>
    <t xml:space="preserve">Declined</t>
  </si>
  <si>
    <t xml:space="preserve">Check: statuses sum to total</t>
  </si>
  <si>
    <t xml:space="preserve">Not scheduled (not eligible / no slot)</t>
  </si>
  <si>
    <t xml:space="preserve">Interview ID</t>
  </si>
  <si>
    <t xml:space="preserve">Candidate ID</t>
  </si>
  <si>
    <t xml:space="preserve">Candidate</t>
  </si>
  <si>
    <t xml:space="preserve">Email</t>
  </si>
  <si>
    <t xml:space="preserve">Phone</t>
  </si>
  <si>
    <t xml:space="preserve">Role</t>
  </si>
  <si>
    <t xml:space="preserve">Date</t>
  </si>
  <si>
    <t xml:space="preserve">Time (IST)</t>
  </si>
  <si>
    <t xml:space="preserve">Mode</t>
  </si>
  <si>
    <t xml:space="preserve">Venue / Meeting link</t>
  </si>
  <si>
    <t xml:space="preserve">Interviewer</t>
  </si>
  <si>
    <t xml:space="preserve">Contact person</t>
  </si>
  <si>
    <t xml:space="preserve">Confirmation Status</t>
  </si>
  <si>
    <t xml:space="preserve">Ack. due by</t>
  </si>
  <si>
    <t xml:space="preserve">Notes</t>
  </si>
  <si>
    <t xml:space="preserve">INT-001</t>
  </si>
  <si>
    <t xml:space="preserve">CAND-001</t>
  </si>
  <si>
    <t xml:space="preserve">Sample Applicant 01</t>
  </si>
  <si>
    <t xml:space="preserve">s01@example.com</t>
  </si>
  <si>
    <t xml:space="preserve">+91-90000-00001</t>
  </si>
  <si>
    <t xml:space="preserve">Senior Software Engineer (Backend - Python)</t>
  </si>
  <si>
    <t xml:space="preserve">Video call</t>
  </si>
  <si>
    <t xml:space="preserve">https://meet.example.com/int-001 (placeholder link)</t>
  </si>
  <si>
    <t xml:space="preserve">Engineering Manager (name TBC)</t>
  </si>
  <si>
    <t xml:space="preserve">HR Coordinator (contact details TBC)</t>
  </si>
  <si>
    <t xml:space="preserve">INT-003</t>
  </si>
  <si>
    <t xml:space="preserve">CAND-003</t>
  </si>
  <si>
    <t xml:space="preserve">Sample Applicant 11</t>
  </si>
  <si>
    <t xml:space="preserve">s11@example.com</t>
  </si>
  <si>
    <t xml:space="preserve">+91-90000-00011</t>
  </si>
  <si>
    <t xml:space="preserve">QA Automation Engineer</t>
  </si>
  <si>
    <t xml:space="preserve">https://meet.example.com/int-003 (placeholder link)</t>
  </si>
  <si>
    <t xml:space="preserve">QA Lead (name TBC)</t>
  </si>
  <si>
    <t xml:space="preserve">INT-002</t>
  </si>
  <si>
    <t xml:space="preserve">CAND-002</t>
  </si>
  <si>
    <t xml:space="preserve">Sample Applicant 06</t>
  </si>
  <si>
    <t xml:space="preserve">s06@example.com</t>
  </si>
  <si>
    <t xml:space="preserve">+91-90000-00006</t>
  </si>
  <si>
    <t xml:space="preserve">Frontend Developer (React.js)</t>
  </si>
  <si>
    <t xml:space="preserve">In-person</t>
  </si>
  <si>
    <t xml:space="preserve">Company office, Gorakhpur (address TBC)</t>
  </si>
  <si>
    <t xml:space="preserve">Frontend Lead (name TBC)</t>
  </si>
  <si>
    <t xml:space="preserve">INT-004</t>
  </si>
  <si>
    <t xml:space="preserve">CAND-004</t>
  </si>
  <si>
    <t xml:space="preserve">Sample Applicant 02</t>
  </si>
  <si>
    <t xml:space="preserve">s02@example.com</t>
  </si>
  <si>
    <t xml:space="preserve">+91-90000-00002</t>
  </si>
  <si>
    <t xml:space="preserve">No slot held</t>
  </si>
  <si>
    <t xml:space="preserve">Time</t>
  </si>
  <si>
    <t xml:space="preserve">Channel</t>
  </si>
  <si>
    <t xml:space="preserve">Subject</t>
  </si>
  <si>
    <t xml:space="preserve">Message</t>
  </si>
  <si>
    <t xml:space="preserve">State</t>
  </si>
  <si>
    <t xml:space="preserve">Interview Confirmation - Senior Software Engineer (Backend - Python)</t>
  </si>
  <si>
    <t xml:space="preserve">Dear Sample Applicant 01,
Thank you for your interest in the Senior Software Engineer (Backend - Python) position. We would like to invite you for an interview.
Date &amp; time: Monday, 02 November 2026 at 10:00 AM IST (45 minutes)
Mode: Video call
Meeting link: https://meet.example.com/int-001 (placeholder link)
Interviewer: Engineering Manager (name TBC)
Contact person: HR Coordinator (contact details TBC)
Please reply CONFIRM to acknowledge, or RESCHEDULE with your preferred times, by 01 Nov 2026, 02:34 PM IST. If we do not hear from you we will release the slot.
Regards,
Recruitment Team</t>
  </si>
  <si>
    <t xml:space="preserve">SIMULATED - not sent</t>
  </si>
  <si>
    <t xml:space="preserve">Interview Confirmation - Frontend Developer (React.js)</t>
  </si>
  <si>
    <t xml:space="preserve">Dear Sample Applicant 06,
Thank you for your interest in the Frontend Developer (React.js) position. We would like to invite you for an interview.
Date &amp; time: Monday, 02 November 2026 at 02:00 PM IST (45 minutes)
Mode: In-person
Venue: Company office, Gorakhpur (address TBC)
Interviewer: Frontend Lead (name TBC)
Contact person: HR Coordinator (contact details TBC)
Please reply CONFIRM to acknowledge, or RESCHEDULE with your preferred times, by 01 Nov 2026, 02:34 PM IST. If we do not hear from you we will release the slot.
Regards,
Recruitment Team</t>
  </si>
  <si>
    <t xml:space="preserve">Dear Sample Applicant 06,
Thank you for your interest in the Frontend Developer (React.js) position. We would like to invite you for an interview.
Date &amp; time: Wednesday, 04 November 2026 at 10:00 AM IST (45 minutes)
Mode: In-person
Venue: Company office, Gorakhpur (address TBC)
Interviewer: Frontend Lead (name TBC)
Contact person: HR Coordinator (contact details TBC)
Please reply CONFIRM to acknowledge, or RESCHEDULE with your preferred times, by 01 Nov 2026, 05:34 PM IST. If we do not hear from you we will release the slot.
Regards,
Recruitment Team</t>
  </si>
  <si>
    <t xml:space="preserve">Interview Confirmation - QA Automation Engineer</t>
  </si>
  <si>
    <t xml:space="preserve">Dear Sample Applicant 11,
Thank you for your interest in the QA Automation Engineer position. We would like to invite you for an interview.
Date &amp; time: Monday, 02 November 2026 at 10:00 AM IST (45 minutes)
Mode: Video call
Meeting link: https://meet.example.com/int-003 (placeholder link)
Interviewer: QA Lead (name TBC)
Contact person: HR Coordinator (contact details TBC)
Please reply CONFIRM to acknowledge, or RESCHEDULE with your preferred times, by 01 Nov 2026, 02:34 PM IST. If we do not hear from you we will release the slot.
Regards,
Recruitment Team</t>
  </si>
  <si>
    <t xml:space="preserve">Status</t>
  </si>
  <si>
    <t xml:space="preserve">Note</t>
  </si>
  <si>
    <t xml:space="preserve">Interested on IVR call</t>
  </si>
  <si>
    <t xml:space="preserve">Candidate acknowledged</t>
  </si>
  <si>
    <t xml:space="preserve">After recruiter callback</t>
  </si>
  <si>
    <t xml:space="preserve">Moved from 02 Nov 14:00 at candidate's request; awaiting re-acknowledgement</t>
  </si>
  <si>
    <t xml:space="preserve">No call consent; recruiter emailed - candidate declined</t>
  </si>
  <si>
    <t xml:space="preserve">Test</t>
  </si>
  <si>
    <t xml:space="preserve">Area</t>
  </si>
  <si>
    <t xml:space="preserve">Scenario</t>
  </si>
  <si>
    <t xml:space="preserve">Expected</t>
  </si>
  <si>
    <t xml:space="preserve">Actual</t>
  </si>
  <si>
    <t xml:space="preserve">Result</t>
  </si>
  <si>
    <t xml:space="preserve">S01</t>
  </si>
  <si>
    <t xml:space="preserve">Slot grid</t>
  </si>
  <si>
    <t xml:space="preserve">No weekend slots</t>
  </si>
  <si>
    <t xml:space="preserve">True</t>
  </si>
  <si>
    <t xml:space="preserve">PASS</t>
  </si>
  <si>
    <t xml:space="preserve">S02</t>
  </si>
  <si>
    <t xml:space="preserve">No slot in lunch hour / after 16:45</t>
  </si>
  <si>
    <t xml:space="preserve">S03</t>
  </si>
  <si>
    <t xml:space="preserve">First slot is next working day (Mon)</t>
  </si>
  <si>
    <t xml:space="preserve">0</t>
  </si>
  <si>
    <t xml:space="preserve">S04</t>
  </si>
  <si>
    <t xml:space="preserve">No double booking</t>
  </si>
  <si>
    <t xml:space="preserve">8 candidates, one interviewer -&gt; 8 distinct slots</t>
  </si>
  <si>
    <t xml:space="preserve">8</t>
  </si>
  <si>
    <t xml:space="preserve">S05</t>
  </si>
  <si>
    <t xml:space="preserve">Different interviewers may share a time</t>
  </si>
  <si>
    <t xml:space="preserve">S06</t>
  </si>
  <si>
    <t xml:space="preserve">Availability</t>
  </si>
  <si>
    <t xml:space="preserve">Mon-Wed morning respected</t>
  </si>
  <si>
    <t xml:space="preserve">S07</t>
  </si>
  <si>
    <t xml:space="preserve">New proposal is Confirmation Pending</t>
  </si>
  <si>
    <t xml:space="preserve">S08</t>
  </si>
  <si>
    <t xml:space="preserve">Acknowledgement -&gt; Scheduled</t>
  </si>
  <si>
    <t xml:space="preserve">S09</t>
  </si>
  <si>
    <t xml:space="preserve">Reschedule</t>
  </si>
  <si>
    <t xml:space="preserve">Status -&gt; Rescheduled</t>
  </si>
  <si>
    <t xml:space="preserve">S10</t>
  </si>
  <si>
    <t xml:space="preserve">Old slot released and re-usable</t>
  </si>
  <si>
    <t xml:space="preserve">S11</t>
  </si>
  <si>
    <t xml:space="preserve">Released slot given to next candidate</t>
  </si>
  <si>
    <t xml:space="preserve">S12</t>
  </si>
  <si>
    <t xml:space="preserve">No response</t>
  </si>
  <si>
    <t xml:space="preserve">Still pending at 47 h</t>
  </si>
  <si>
    <t xml:space="preserve">S13</t>
  </si>
  <si>
    <t xml:space="preserve">No Response after 48 h</t>
  </si>
  <si>
    <t xml:space="preserve">S14</t>
  </si>
  <si>
    <t xml:space="preserve">Slot released after lapse</t>
  </si>
  <si>
    <t xml:space="preserve">S15</t>
  </si>
  <si>
    <t xml:space="preserve">Status Declined, slot freed</t>
  </si>
  <si>
    <t xml:space="preserve">S16</t>
  </si>
  <si>
    <t xml:space="preserve">Capacity</t>
  </si>
  <si>
    <t xml:space="preserve">Full calendar -&gt; candidate left unscheduled (manual)</t>
  </si>
  <si>
    <t xml:space="preserve">S17</t>
  </si>
  <si>
    <t xml:space="preserve">Contains date, time, mode, venue, interviewer, contact, ack request</t>
  </si>
  <si>
    <t xml:space="preserve">S18</t>
  </si>
  <si>
    <t xml:space="preserve">Drafts are simulated, not sent</t>
  </si>
  <si>
    <t xml:space="preserve">S19</t>
  </si>
  <si>
    <t xml:space="preserve">All 5 required statuses defined</t>
  </si>
  <si>
    <t xml:space="preserve">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</si>
</sst>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d\ dd\-mmm\-yyyy"/>
    <numFmt numFmtId="166" formatCode="hh:mm"/>
    <numFmt numFmtId="167" formatCode="dd\-mmm\-yyyy\ hh:mm"/>
    <numFmt numFmtId="168" formatCode="yyyy\-mm\-dd\ h:mm:ss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n">
        <f aca="false">COUNTA(Schedule!A2:A5)</f>
        <v>4</v>
      </c>
    </row>
    <row r="6" customFormat="false" ht="15" hidden="false" customHeight="false" outlineLevel="0" collapsed="false">
      <c r="A6" s="4" t="s">
        <v>3</v>
      </c>
      <c r="B6" s="4" t="s">
        <v>4</v>
      </c>
    </row>
    <row r="7" customFormat="false" ht="15" hidden="false" customHeight="false" outlineLevel="0" collapsed="false">
      <c r="A7" s="5" t="s">
        <v>5</v>
      </c>
      <c r="B7" s="5" t="n">
        <f aca="false">COUNTIF(Schedule!$M$2:$M$5,A7)</f>
        <v>1</v>
      </c>
    </row>
    <row r="8" customFormat="false" ht="15" hidden="false" customHeight="false" outlineLevel="0" collapsed="false">
      <c r="A8" s="5" t="s">
        <v>6</v>
      </c>
      <c r="B8" s="5" t="n">
        <f aca="false">COUNTIF(Schedule!$M$2:$M$5,A8)</f>
        <v>1</v>
      </c>
    </row>
    <row r="9" customFormat="false" ht="15" hidden="false" customHeight="false" outlineLevel="0" collapsed="false">
      <c r="A9" s="5" t="s">
        <v>7</v>
      </c>
      <c r="B9" s="5" t="n">
        <f aca="false">COUNTIF(Schedule!$M$2:$M$5,A9)</f>
        <v>1</v>
      </c>
    </row>
    <row r="10" customFormat="false" ht="15" hidden="false" customHeight="false" outlineLevel="0" collapsed="false">
      <c r="A10" s="5" t="s">
        <v>8</v>
      </c>
      <c r="B10" s="5" t="n">
        <f aca="false">COUNTIF(Schedule!$M$2:$M$5,A10)</f>
        <v>0</v>
      </c>
    </row>
    <row r="11" customFormat="false" ht="15" hidden="false" customHeight="false" outlineLevel="0" collapsed="false">
      <c r="A11" s="5" t="s">
        <v>9</v>
      </c>
      <c r="B11" s="5" t="n">
        <f aca="false">COUNTIF(Schedule!$M$2:$M$5,A11)</f>
        <v>1</v>
      </c>
    </row>
    <row r="12" customFormat="false" ht="15" hidden="false" customHeight="false" outlineLevel="0" collapsed="false">
      <c r="A12" s="2" t="s">
        <v>10</v>
      </c>
      <c r="B12" s="2" t="str">
        <f aca="false">IF(SUM(B7:B11)=B4,"OK","MISMATCH")</f>
        <v>OK</v>
      </c>
    </row>
    <row r="14" customFormat="false" ht="15" hidden="false" customHeight="false" outlineLevel="0" collapsed="false">
      <c r="A14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17"/>
    <col collapsed="false" customWidth="true" hidden="false" outlineLevel="0" max="6" min="6" style="0" width="34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46"/>
    <col collapsed="false" customWidth="true" hidden="false" outlineLevel="0" max="12" min="11" style="0" width="30"/>
    <col collapsed="false" customWidth="true" hidden="false" outlineLevel="0" max="13" min="13" style="0" width="22"/>
    <col collapsed="false" customWidth="true" hidden="false" outlineLevel="0" max="14" min="14" style="0" width="18"/>
    <col collapsed="false" customWidth="true" hidden="false" outlineLevel="0" max="15" min="15" style="0" width="44"/>
  </cols>
  <sheetData>
    <row r="1" customFormat="false" ht="26.8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</row>
    <row r="2" customFormat="false" ht="33.75" hidden="false" customHeight="true" outlineLevel="0" collapsed="false">
      <c r="A2" s="6" t="s">
        <v>27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  <c r="G2" s="7" t="n">
        <v>46328</v>
      </c>
      <c r="H2" s="8" t="n">
        <v>0.416666666666667</v>
      </c>
      <c r="I2" s="6" t="s">
        <v>33</v>
      </c>
      <c r="J2" s="6" t="s">
        <v>34</v>
      </c>
      <c r="K2" s="6" t="s">
        <v>35</v>
      </c>
      <c r="L2" s="6" t="s">
        <v>36</v>
      </c>
      <c r="M2" s="6" t="s">
        <v>5</v>
      </c>
      <c r="N2" s="9"/>
      <c r="O2" s="6"/>
    </row>
    <row r="3" customFormat="false" ht="33.75" hidden="false" customHeight="true" outlineLevel="0" collapsed="false">
      <c r="A3" s="6" t="s">
        <v>37</v>
      </c>
      <c r="B3" s="6" t="s">
        <v>38</v>
      </c>
      <c r="C3" s="6" t="s">
        <v>39</v>
      </c>
      <c r="D3" s="6" t="s">
        <v>40</v>
      </c>
      <c r="E3" s="6" t="s">
        <v>41</v>
      </c>
      <c r="F3" s="6" t="s">
        <v>42</v>
      </c>
      <c r="G3" s="7" t="n">
        <v>46328</v>
      </c>
      <c r="H3" s="8" t="n">
        <v>0.416666666666667</v>
      </c>
      <c r="I3" s="6" t="s">
        <v>33</v>
      </c>
      <c r="J3" s="6" t="s">
        <v>43</v>
      </c>
      <c r="K3" s="6" t="s">
        <v>44</v>
      </c>
      <c r="L3" s="6" t="s">
        <v>36</v>
      </c>
      <c r="M3" s="6" t="s">
        <v>6</v>
      </c>
      <c r="N3" s="9" t="n">
        <v>46327.6074712445</v>
      </c>
      <c r="O3" s="6"/>
    </row>
    <row r="4" customFormat="false" ht="33.75" hidden="false" customHeight="true" outlineLevel="0" collapsed="false">
      <c r="A4" s="6" t="s">
        <v>45</v>
      </c>
      <c r="B4" s="6" t="s">
        <v>46</v>
      </c>
      <c r="C4" s="6" t="s">
        <v>47</v>
      </c>
      <c r="D4" s="6" t="s">
        <v>48</v>
      </c>
      <c r="E4" s="6" t="s">
        <v>49</v>
      </c>
      <c r="F4" s="6" t="s">
        <v>50</v>
      </c>
      <c r="G4" s="7" t="n">
        <v>46330</v>
      </c>
      <c r="H4" s="8" t="n">
        <v>0.416666666666667</v>
      </c>
      <c r="I4" s="6" t="s">
        <v>51</v>
      </c>
      <c r="J4" s="6" t="s">
        <v>52</v>
      </c>
      <c r="K4" s="6" t="s">
        <v>53</v>
      </c>
      <c r="L4" s="6" t="s">
        <v>36</v>
      </c>
      <c r="M4" s="6" t="s">
        <v>7</v>
      </c>
      <c r="N4" s="9" t="n">
        <v>46327.7324712445</v>
      </c>
      <c r="O4" s="6"/>
    </row>
    <row r="5" customFormat="false" ht="33.75" hidden="false" customHeight="true" outlineLevel="0" collapsed="false">
      <c r="A5" s="6" t="s">
        <v>54</v>
      </c>
      <c r="B5" s="6" t="s">
        <v>55</v>
      </c>
      <c r="C5" s="6" t="s">
        <v>56</v>
      </c>
      <c r="D5" s="6" t="s">
        <v>57</v>
      </c>
      <c r="E5" s="6" t="s">
        <v>58</v>
      </c>
      <c r="F5" s="6" t="s">
        <v>32</v>
      </c>
      <c r="G5" s="7"/>
      <c r="H5" s="8"/>
      <c r="I5" s="6"/>
      <c r="J5" s="6"/>
      <c r="K5" s="6" t="s">
        <v>35</v>
      </c>
      <c r="L5" s="6" t="s">
        <v>36</v>
      </c>
      <c r="M5" s="6" t="s">
        <v>9</v>
      </c>
      <c r="N5" s="9"/>
      <c r="O5" s="6" t="s">
        <v>59</v>
      </c>
    </row>
  </sheetData>
  <dataValidations count="1">
    <dataValidation allowBlank="false" errorStyle="stop" operator="between" showDropDown="false" showErrorMessage="false" showInputMessage="false" sqref="M2:M5" type="list">
      <formula1>"Scheduled,Confirmation Pending,Rescheduled,No Response,Declined"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36"/>
    <col collapsed="false" customWidth="true" hidden="false" outlineLevel="0" max="5" min="5" style="0" width="90"/>
    <col collapsed="false" customWidth="true" hidden="false" outlineLevel="0" max="6" min="6" style="0" width="22"/>
  </cols>
  <sheetData>
    <row r="1" customFormat="false" ht="26.85" hidden="false" customHeight="false" outlineLevel="0" collapsed="false">
      <c r="A1" s="4" t="s">
        <v>60</v>
      </c>
      <c r="B1" s="4" t="s">
        <v>13</v>
      </c>
      <c r="C1" s="4" t="s">
        <v>61</v>
      </c>
      <c r="D1" s="4" t="s">
        <v>62</v>
      </c>
      <c r="E1" s="4" t="s">
        <v>63</v>
      </c>
      <c r="F1" s="4" t="s">
        <v>64</v>
      </c>
    </row>
    <row r="2" customFormat="false" ht="180.55" hidden="false" customHeight="false" outlineLevel="0" collapsed="false">
      <c r="A2" s="10" t="n">
        <v>46325.6074712445</v>
      </c>
      <c r="B2" s="6" t="s">
        <v>28</v>
      </c>
      <c r="C2" s="6" t="s">
        <v>15</v>
      </c>
      <c r="D2" s="6" t="s">
        <v>65</v>
      </c>
      <c r="E2" s="6" t="s">
        <v>66</v>
      </c>
      <c r="F2" s="6" t="s">
        <v>67</v>
      </c>
    </row>
    <row r="3" customFormat="false" ht="180.55" hidden="false" customHeight="false" outlineLevel="0" collapsed="false">
      <c r="A3" s="10" t="n">
        <v>46325.6074712445</v>
      </c>
      <c r="B3" s="6" t="s">
        <v>46</v>
      </c>
      <c r="C3" s="6" t="s">
        <v>15</v>
      </c>
      <c r="D3" s="6" t="s">
        <v>68</v>
      </c>
      <c r="E3" s="6" t="s">
        <v>69</v>
      </c>
      <c r="F3" s="6" t="s">
        <v>67</v>
      </c>
    </row>
    <row r="4" customFormat="false" ht="180.55" hidden="false" customHeight="false" outlineLevel="0" collapsed="false">
      <c r="A4" s="10" t="n">
        <v>46325.7324712445</v>
      </c>
      <c r="B4" s="6" t="s">
        <v>46</v>
      </c>
      <c r="C4" s="6" t="s">
        <v>15</v>
      </c>
      <c r="D4" s="6" t="s">
        <v>68</v>
      </c>
      <c r="E4" s="6" t="s">
        <v>70</v>
      </c>
      <c r="F4" s="6" t="s">
        <v>67</v>
      </c>
    </row>
    <row r="5" customFormat="false" ht="169.4" hidden="false" customHeight="false" outlineLevel="0" collapsed="false">
      <c r="A5" s="10" t="n">
        <v>46325.6074712445</v>
      </c>
      <c r="B5" s="6" t="s">
        <v>38</v>
      </c>
      <c r="C5" s="6" t="s">
        <v>15</v>
      </c>
      <c r="D5" s="6" t="s">
        <v>71</v>
      </c>
      <c r="E5" s="6" t="s">
        <v>72</v>
      </c>
      <c r="F5" s="6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4" t="s">
        <v>12</v>
      </c>
      <c r="B1" s="4" t="s">
        <v>13</v>
      </c>
      <c r="C1" s="4" t="s">
        <v>60</v>
      </c>
      <c r="D1" s="4" t="s">
        <v>73</v>
      </c>
      <c r="E1" s="4" t="s">
        <v>74</v>
      </c>
    </row>
    <row r="2" customFormat="false" ht="15" hidden="false" customHeight="false" outlineLevel="0" collapsed="false">
      <c r="A2" s="6" t="s">
        <v>27</v>
      </c>
      <c r="B2" s="6" t="s">
        <v>28</v>
      </c>
      <c r="C2" s="10" t="n">
        <v>46325.6074712445</v>
      </c>
      <c r="D2" s="6" t="s">
        <v>6</v>
      </c>
      <c r="E2" s="6" t="s">
        <v>75</v>
      </c>
    </row>
    <row r="3" customFormat="false" ht="15" hidden="false" customHeight="false" outlineLevel="0" collapsed="false">
      <c r="A3" s="6" t="s">
        <v>27</v>
      </c>
      <c r="B3" s="6" t="s">
        <v>28</v>
      </c>
      <c r="C3" s="10" t="n">
        <v>46325.6908045778</v>
      </c>
      <c r="D3" s="6" t="s">
        <v>5</v>
      </c>
      <c r="E3" s="6" t="s">
        <v>76</v>
      </c>
    </row>
    <row r="4" customFormat="false" ht="15" hidden="false" customHeight="false" outlineLevel="0" collapsed="false">
      <c r="A4" s="6" t="s">
        <v>45</v>
      </c>
      <c r="B4" s="6" t="s">
        <v>46</v>
      </c>
      <c r="C4" s="10" t="n">
        <v>46325.6074712445</v>
      </c>
      <c r="D4" s="6" t="s">
        <v>6</v>
      </c>
      <c r="E4" s="6" t="s">
        <v>77</v>
      </c>
    </row>
    <row r="5" customFormat="false" ht="15" hidden="false" customHeight="false" outlineLevel="0" collapsed="false">
      <c r="A5" s="6" t="s">
        <v>45</v>
      </c>
      <c r="B5" s="6" t="s">
        <v>46</v>
      </c>
      <c r="C5" s="10" t="n">
        <v>46325.7324712445</v>
      </c>
      <c r="D5" s="6" t="s">
        <v>7</v>
      </c>
      <c r="E5" s="6" t="s">
        <v>78</v>
      </c>
    </row>
    <row r="6" customFormat="false" ht="15" hidden="false" customHeight="false" outlineLevel="0" collapsed="false">
      <c r="A6" s="6" t="s">
        <v>37</v>
      </c>
      <c r="B6" s="6" t="s">
        <v>38</v>
      </c>
      <c r="C6" s="10" t="n">
        <v>46325.6074712445</v>
      </c>
      <c r="D6" s="6" t="s">
        <v>6</v>
      </c>
      <c r="E6" s="6" t="s">
        <v>75</v>
      </c>
    </row>
    <row r="7" customFormat="false" ht="15" hidden="false" customHeight="false" outlineLevel="0" collapsed="false">
      <c r="A7" s="6" t="s">
        <v>54</v>
      </c>
      <c r="B7" s="6" t="s">
        <v>55</v>
      </c>
      <c r="C7" s="10" t="n">
        <v>46325.6074712445</v>
      </c>
      <c r="D7" s="6" t="s">
        <v>9</v>
      </c>
      <c r="E7" s="6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62"/>
    <col collapsed="false" customWidth="true" hidden="false" outlineLevel="0" max="5" min="4" style="0" width="22"/>
    <col collapsed="false" customWidth="true" hidden="false" outlineLevel="0" max="6" min="6" style="0" width="9"/>
  </cols>
  <sheetData>
    <row r="1" customFormat="false" ht="15" hidden="false" customHeight="false" outlineLevel="0" collapsed="false">
      <c r="A1" s="4" t="s">
        <v>80</v>
      </c>
      <c r="B1" s="4" t="s">
        <v>81</v>
      </c>
      <c r="C1" s="4" t="s">
        <v>82</v>
      </c>
      <c r="D1" s="4" t="s">
        <v>83</v>
      </c>
      <c r="E1" s="4" t="s">
        <v>84</v>
      </c>
      <c r="F1" s="4" t="s">
        <v>85</v>
      </c>
    </row>
    <row r="2" customFormat="false" ht="15" hidden="false" customHeight="false" outlineLevel="0" collapsed="false">
      <c r="A2" s="6" t="s">
        <v>86</v>
      </c>
      <c r="B2" s="6" t="s">
        <v>87</v>
      </c>
      <c r="C2" s="6" t="s">
        <v>88</v>
      </c>
      <c r="D2" s="6" t="s">
        <v>89</v>
      </c>
      <c r="E2" s="6" t="s">
        <v>89</v>
      </c>
      <c r="F2" s="6" t="s">
        <v>90</v>
      </c>
    </row>
    <row r="3" customFormat="false" ht="15" hidden="false" customHeight="false" outlineLevel="0" collapsed="false">
      <c r="A3" s="6" t="s">
        <v>91</v>
      </c>
      <c r="B3" s="6" t="s">
        <v>87</v>
      </c>
      <c r="C3" s="6" t="s">
        <v>92</v>
      </c>
      <c r="D3" s="6" t="s">
        <v>89</v>
      </c>
      <c r="E3" s="6" t="s">
        <v>89</v>
      </c>
      <c r="F3" s="6" t="s">
        <v>90</v>
      </c>
    </row>
    <row r="4" customFormat="false" ht="15" hidden="false" customHeight="false" outlineLevel="0" collapsed="false">
      <c r="A4" s="6" t="s">
        <v>93</v>
      </c>
      <c r="B4" s="6" t="s">
        <v>87</v>
      </c>
      <c r="C4" s="6" t="s">
        <v>94</v>
      </c>
      <c r="D4" s="6" t="s">
        <v>95</v>
      </c>
      <c r="E4" s="6" t="s">
        <v>95</v>
      </c>
      <c r="F4" s="6" t="s">
        <v>90</v>
      </c>
    </row>
    <row r="5" customFormat="false" ht="15" hidden="false" customHeight="false" outlineLevel="0" collapsed="false">
      <c r="A5" s="6" t="s">
        <v>96</v>
      </c>
      <c r="B5" s="6" t="s">
        <v>97</v>
      </c>
      <c r="C5" s="6" t="s">
        <v>98</v>
      </c>
      <c r="D5" s="6" t="s">
        <v>99</v>
      </c>
      <c r="E5" s="6" t="s">
        <v>99</v>
      </c>
      <c r="F5" s="6" t="s">
        <v>90</v>
      </c>
    </row>
    <row r="6" customFormat="false" ht="15" hidden="false" customHeight="false" outlineLevel="0" collapsed="false">
      <c r="A6" s="6" t="s">
        <v>100</v>
      </c>
      <c r="B6" s="6" t="s">
        <v>97</v>
      </c>
      <c r="C6" s="6" t="s">
        <v>101</v>
      </c>
      <c r="D6" s="6" t="s">
        <v>89</v>
      </c>
      <c r="E6" s="6" t="s">
        <v>89</v>
      </c>
      <c r="F6" s="6" t="s">
        <v>90</v>
      </c>
    </row>
    <row r="7" customFormat="false" ht="15" hidden="false" customHeight="false" outlineLevel="0" collapsed="false">
      <c r="A7" s="6" t="s">
        <v>102</v>
      </c>
      <c r="B7" s="6" t="s">
        <v>103</v>
      </c>
      <c r="C7" s="6" t="s">
        <v>104</v>
      </c>
      <c r="D7" s="6" t="s">
        <v>89</v>
      </c>
      <c r="E7" s="6" t="s">
        <v>89</v>
      </c>
      <c r="F7" s="6" t="s">
        <v>90</v>
      </c>
    </row>
    <row r="8" customFormat="false" ht="15" hidden="false" customHeight="false" outlineLevel="0" collapsed="false">
      <c r="A8" s="6" t="s">
        <v>105</v>
      </c>
      <c r="B8" s="6" t="s">
        <v>73</v>
      </c>
      <c r="C8" s="6" t="s">
        <v>106</v>
      </c>
      <c r="D8" s="6" t="s">
        <v>6</v>
      </c>
      <c r="E8" s="6" t="s">
        <v>6</v>
      </c>
      <c r="F8" s="6" t="s">
        <v>90</v>
      </c>
    </row>
    <row r="9" customFormat="false" ht="15" hidden="false" customHeight="false" outlineLevel="0" collapsed="false">
      <c r="A9" s="6" t="s">
        <v>107</v>
      </c>
      <c r="B9" s="6" t="s">
        <v>73</v>
      </c>
      <c r="C9" s="6" t="s">
        <v>108</v>
      </c>
      <c r="D9" s="6" t="s">
        <v>5</v>
      </c>
      <c r="E9" s="6" t="s">
        <v>5</v>
      </c>
      <c r="F9" s="6" t="s">
        <v>90</v>
      </c>
    </row>
    <row r="10" customFormat="false" ht="15" hidden="false" customHeight="false" outlineLevel="0" collapsed="false">
      <c r="A10" s="6" t="s">
        <v>109</v>
      </c>
      <c r="B10" s="6" t="s">
        <v>110</v>
      </c>
      <c r="C10" s="6" t="s">
        <v>111</v>
      </c>
      <c r="D10" s="6" t="s">
        <v>7</v>
      </c>
      <c r="E10" s="6" t="s">
        <v>7</v>
      </c>
      <c r="F10" s="6" t="s">
        <v>90</v>
      </c>
    </row>
    <row r="11" customFormat="false" ht="15" hidden="false" customHeight="false" outlineLevel="0" collapsed="false">
      <c r="A11" s="6" t="s">
        <v>112</v>
      </c>
      <c r="B11" s="6" t="s">
        <v>110</v>
      </c>
      <c r="C11" s="6" t="s">
        <v>113</v>
      </c>
      <c r="D11" s="6" t="s">
        <v>89</v>
      </c>
      <c r="E11" s="6" t="s">
        <v>89</v>
      </c>
      <c r="F11" s="6" t="s">
        <v>90</v>
      </c>
    </row>
    <row r="12" customFormat="false" ht="15" hidden="false" customHeight="false" outlineLevel="0" collapsed="false">
      <c r="A12" s="6" t="s">
        <v>114</v>
      </c>
      <c r="B12" s="6" t="s">
        <v>110</v>
      </c>
      <c r="C12" s="6" t="s">
        <v>115</v>
      </c>
      <c r="D12" s="6" t="s">
        <v>89</v>
      </c>
      <c r="E12" s="6" t="s">
        <v>89</v>
      </c>
      <c r="F12" s="6" t="s">
        <v>90</v>
      </c>
    </row>
    <row r="13" customFormat="false" ht="15" hidden="false" customHeight="false" outlineLevel="0" collapsed="false">
      <c r="A13" s="6" t="s">
        <v>116</v>
      </c>
      <c r="B13" s="6" t="s">
        <v>117</v>
      </c>
      <c r="C13" s="6" t="s">
        <v>118</v>
      </c>
      <c r="D13" s="6" t="s">
        <v>6</v>
      </c>
      <c r="E13" s="6" t="s">
        <v>6</v>
      </c>
      <c r="F13" s="6" t="s">
        <v>90</v>
      </c>
    </row>
    <row r="14" customFormat="false" ht="15" hidden="false" customHeight="false" outlineLevel="0" collapsed="false">
      <c r="A14" s="6" t="s">
        <v>119</v>
      </c>
      <c r="B14" s="6" t="s">
        <v>117</v>
      </c>
      <c r="C14" s="6" t="s">
        <v>120</v>
      </c>
      <c r="D14" s="6" t="s">
        <v>8</v>
      </c>
      <c r="E14" s="6" t="s">
        <v>8</v>
      </c>
      <c r="F14" s="6" t="s">
        <v>90</v>
      </c>
    </row>
    <row r="15" customFormat="false" ht="15" hidden="false" customHeight="false" outlineLevel="0" collapsed="false">
      <c r="A15" s="6" t="s">
        <v>121</v>
      </c>
      <c r="B15" s="6" t="s">
        <v>117</v>
      </c>
      <c r="C15" s="6" t="s">
        <v>122</v>
      </c>
      <c r="D15" s="6" t="s">
        <v>89</v>
      </c>
      <c r="E15" s="6" t="s">
        <v>89</v>
      </c>
      <c r="F15" s="6" t="s">
        <v>90</v>
      </c>
    </row>
    <row r="16" customFormat="false" ht="15" hidden="false" customHeight="false" outlineLevel="0" collapsed="false">
      <c r="A16" s="6" t="s">
        <v>123</v>
      </c>
      <c r="B16" s="6" t="s">
        <v>9</v>
      </c>
      <c r="C16" s="6" t="s">
        <v>124</v>
      </c>
      <c r="D16" s="6" t="s">
        <v>89</v>
      </c>
      <c r="E16" s="6" t="s">
        <v>89</v>
      </c>
      <c r="F16" s="6" t="s">
        <v>90</v>
      </c>
    </row>
    <row r="17" customFormat="false" ht="15" hidden="false" customHeight="false" outlineLevel="0" collapsed="false">
      <c r="A17" s="6" t="s">
        <v>125</v>
      </c>
      <c r="B17" s="6" t="s">
        <v>126</v>
      </c>
      <c r="C17" s="6" t="s">
        <v>127</v>
      </c>
      <c r="D17" s="6" t="s">
        <v>89</v>
      </c>
      <c r="E17" s="6" t="s">
        <v>89</v>
      </c>
      <c r="F17" s="6" t="s">
        <v>90</v>
      </c>
    </row>
    <row r="18" customFormat="false" ht="15" hidden="false" customHeight="false" outlineLevel="0" collapsed="false">
      <c r="A18" s="6" t="s">
        <v>128</v>
      </c>
      <c r="B18" s="6" t="s">
        <v>63</v>
      </c>
      <c r="C18" s="6" t="s">
        <v>129</v>
      </c>
      <c r="D18" s="6" t="s">
        <v>89</v>
      </c>
      <c r="E18" s="6" t="s">
        <v>89</v>
      </c>
      <c r="F18" s="6" t="s">
        <v>90</v>
      </c>
    </row>
    <row r="19" customFormat="false" ht="15" hidden="false" customHeight="false" outlineLevel="0" collapsed="false">
      <c r="A19" s="6" t="s">
        <v>130</v>
      </c>
      <c r="B19" s="6" t="s">
        <v>63</v>
      </c>
      <c r="C19" s="6" t="s">
        <v>131</v>
      </c>
      <c r="D19" s="6" t="s">
        <v>67</v>
      </c>
      <c r="E19" s="6" t="s">
        <v>67</v>
      </c>
      <c r="F19" s="6" t="s">
        <v>90</v>
      </c>
    </row>
    <row r="20" customFormat="false" ht="15" hidden="false" customHeight="false" outlineLevel="0" collapsed="false">
      <c r="A20" s="6" t="s">
        <v>132</v>
      </c>
      <c r="B20" s="6" t="s">
        <v>73</v>
      </c>
      <c r="C20" s="6" t="s">
        <v>133</v>
      </c>
      <c r="D20" s="6" t="s">
        <v>134</v>
      </c>
      <c r="E20" s="6" t="s">
        <v>134</v>
      </c>
      <c r="F20" s="6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2026-10-30T09:04:45Z</dcterms:created>
  <dc:creator>openpyxl</dc:creator>
  <dc:description/>
  <dc:language>en-US</dc:language>
  <cp:lastModifiedBy/>
  <dcterms:modified xsi:type="dcterms:W3CDTF">2026-10-30T09:04:45Z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