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Postings" sheetId="2" state="visible" r:id="rId2"/>
    <sheet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42" customWidth="1" min="4" max="4"/>
    <col width="20" customWidth="1" min="5" max="5"/>
    <col width="22" customWidth="1" min="6" max="6"/>
    <col width="15" customWidth="1" min="7" max="7"/>
    <col width="36" customWidth="1" min="8" max="8"/>
  </cols>
  <sheetData>
    <row r="1">
      <c r="A1" s="1" t="inlineStr">
        <is>
          <t>Indeed Job Posting Tracker</t>
        </is>
      </c>
    </row>
    <row r="2">
      <c r="A2" s="2" t="inlineStr">
        <is>
          <t>Total postings</t>
        </is>
      </c>
      <c r="B2" s="3">
        <f>COUNTA(A6:A8)</f>
        <v/>
      </c>
      <c r="C2" s="2" t="inlineStr">
        <is>
          <t>Published</t>
        </is>
      </c>
      <c r="D2" s="3">
        <f>COUNTIF(E6:E8,"Published")</f>
        <v/>
      </c>
      <c r="E2" s="2" t="inlineStr">
        <is>
          <t>Target met (&gt;=3 published)?</t>
        </is>
      </c>
      <c r="F2" s="3">
        <f>IF(D2&gt;=3,"YES","NO - pending")</f>
        <v/>
      </c>
    </row>
    <row r="5">
      <c r="A5" s="4" t="inlineStr">
        <is>
          <t>Ref ID</t>
        </is>
      </c>
      <c r="B5" s="4" t="inlineStr">
        <is>
          <t>Job Title</t>
        </is>
      </c>
      <c r="C5" s="4" t="inlineStr">
        <is>
          <t>Posting Date</t>
        </is>
      </c>
      <c r="D5" s="4" t="inlineStr">
        <is>
          <t>Indeed Link / Reference</t>
        </is>
      </c>
      <c r="E5" s="4" t="inlineStr">
        <is>
          <t>Status</t>
        </is>
      </c>
      <c r="F5" s="4" t="inlineStr">
        <is>
          <t>Salary Approved By</t>
        </is>
      </c>
      <c r="G5" s="4" t="inlineStr">
        <is>
          <t>Proofread (Y/N)</t>
        </is>
      </c>
      <c r="H5" s="4" t="inlineStr">
        <is>
          <t>Remarks</t>
        </is>
      </c>
    </row>
    <row r="6" ht="36" customHeight="1">
      <c r="A6" s="5">
        <f>Postings!A2</f>
        <v/>
      </c>
      <c r="B6" s="5">
        <f>Postings!B2</f>
        <v/>
      </c>
      <c r="C6" s="6" t="n">
        <v>46325</v>
      </c>
      <c r="D6" s="7" t="inlineStr">
        <is>
          <t>SIMULATED-JP-001-6586</t>
        </is>
      </c>
      <c r="E6" s="5" t="inlineStr">
        <is>
          <t>Draft</t>
        </is>
      </c>
      <c r="F6" s="7" t="n"/>
      <c r="G6" s="5" t="inlineStr">
        <is>
          <t>N</t>
        </is>
      </c>
      <c r="H6" s="5" t="inlineStr">
        <is>
          <t>Simulated run - no real posting created.</t>
        </is>
      </c>
    </row>
    <row r="7" ht="36" customHeight="1">
      <c r="A7" s="5">
        <f>Postings!A3</f>
        <v/>
      </c>
      <c r="B7" s="5">
        <f>Postings!B3</f>
        <v/>
      </c>
      <c r="C7" s="6" t="n">
        <v>46325</v>
      </c>
      <c r="D7" s="7" t="inlineStr">
        <is>
          <t>SIMULATED-JP-002-1587</t>
        </is>
      </c>
      <c r="E7" s="5" t="inlineStr">
        <is>
          <t>Draft</t>
        </is>
      </c>
      <c r="F7" s="7" t="n"/>
      <c r="G7" s="5" t="inlineStr">
        <is>
          <t>N</t>
        </is>
      </c>
      <c r="H7" s="5" t="inlineStr">
        <is>
          <t>Simulated run - no real posting created.</t>
        </is>
      </c>
    </row>
    <row r="8" ht="36" customHeight="1">
      <c r="A8" s="5">
        <f>Postings!A4</f>
        <v/>
      </c>
      <c r="B8" s="5">
        <f>Postings!B4</f>
        <v/>
      </c>
      <c r="C8" s="6" t="n">
        <v>46325</v>
      </c>
      <c r="D8" s="7" t="inlineStr">
        <is>
          <t>SIMULATED-JP-003-6221</t>
        </is>
      </c>
      <c r="E8" s="5" t="inlineStr">
        <is>
          <t>Draft</t>
        </is>
      </c>
      <c r="F8" s="7" t="n"/>
      <c r="G8" s="5" t="inlineStr">
        <is>
          <t>N</t>
        </is>
      </c>
      <c r="H8" s="5" t="inlineStr">
        <is>
          <t>Simulated run - no real posting created.</t>
        </is>
      </c>
    </row>
  </sheetData>
  <dataValidations count="2">
    <dataValidation sqref="E6 E7 E8" showDropDown="0" showInputMessage="0" showErrorMessage="0" allowBlank="1" type="list">
      <formula1>"Draft,Ready to Publish,Published,Under Review,Closed"</formula1>
    </dataValidation>
    <dataValidation sqref="G6 G7 G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28" customWidth="1" min="4" max="4"/>
    <col width="14" customWidth="1" min="5" max="5"/>
    <col width="34" customWidth="1" min="6" max="6"/>
    <col width="34" customWidth="1" min="7" max="7"/>
    <col width="40" customWidth="1" min="8" max="8"/>
    <col width="55" customWidth="1" min="9" max="9"/>
    <col width="60" customWidth="1" min="10" max="10"/>
    <col width="40" customWidth="1" min="11" max="11"/>
  </cols>
  <sheetData>
    <row r="1">
      <c r="A1" s="4" t="inlineStr">
        <is>
          <t>Ref ID</t>
        </is>
      </c>
      <c r="B1" s="4" t="inlineStr">
        <is>
          <t>Job Title</t>
        </is>
      </c>
      <c r="C1" s="4" t="inlineStr">
        <is>
          <t>Employment Type</t>
        </is>
      </c>
      <c r="D1" s="4" t="inlineStr">
        <is>
          <t>Location</t>
        </is>
      </c>
      <c r="E1" s="4" t="inlineStr">
        <is>
          <t>Experience</t>
        </is>
      </c>
      <c r="F1" s="4" t="inlineStr">
        <is>
          <t>Qualification</t>
        </is>
      </c>
      <c r="G1" s="4" t="inlineStr">
        <is>
          <t>Salary (Approved)</t>
        </is>
      </c>
      <c r="H1" s="4" t="inlineStr">
        <is>
          <t>Key Skills</t>
        </is>
      </c>
      <c r="I1" s="4" t="inlineStr">
        <is>
          <t>Job Summary</t>
        </is>
      </c>
      <c r="J1" s="4" t="inlineStr">
        <is>
          <t>Responsibilities</t>
        </is>
      </c>
      <c r="K1" s="4" t="inlineStr">
        <is>
          <t>SEO Keywords</t>
        </is>
      </c>
    </row>
    <row r="2" ht="150" customHeight="1">
      <c r="A2" s="5" t="inlineStr">
        <is>
          <t>JP-001</t>
        </is>
      </c>
      <c r="B2" s="5" t="inlineStr">
        <is>
          <t>Senior Software Engineer (Backend - Python)</t>
        </is>
      </c>
      <c r="C2" s="5" t="inlineStr">
        <is>
          <t>Full-time</t>
        </is>
      </c>
      <c r="D2" s="5" t="inlineStr">
        <is>
          <t>Gorakhpur, Uttar Pradesh (Hybrid)</t>
        </is>
      </c>
      <c r="E2" s="5" t="inlineStr">
        <is>
          <t>4-7 years</t>
        </is>
      </c>
      <c r="F2" s="5" t="inlineStr">
        <is>
          <t>B.Tech/B.E./MCA in Computer Science or related field</t>
        </is>
      </c>
      <c r="G2" s="5" t="inlineStr">
        <is>
          <t>₹12,00,000 - ₹20,00,000 per year (APPROVED RANGE - confirm with HR)</t>
        </is>
      </c>
      <c r="H2" s="5" t="inlineStr">
        <is>
          <t>Python, Django/FastAPI, REST APIs, PostgreSQL, Docker, Git, AWS, unit testing</t>
        </is>
      </c>
      <c r="I2" s="5" t="inlineStr">
        <is>
          <t>We are looking for a Senior Backend Engineer to design, build and maintain scalable services that power our products. You will work with product and frontend teams and mentor junior developers.</t>
        </is>
      </c>
      <c r="J2" s="5" t="inlineStr">
        <is>
          <t>- Design and develop secure, scalable REST APIs and backend services
- Write clean, tested, well-documented code and perform code reviews
- Optimise database queries and application performance
- Collaborate with product, QA and DevOps on releases
- Mentor junior engineers and contribute to technical design</t>
        </is>
      </c>
      <c r="K2" s="5" t="inlineStr">
        <is>
          <t>software engineer, backend developer, python developer, django, fastapi, aws, rest api</t>
        </is>
      </c>
    </row>
    <row r="3" ht="150" customHeight="1">
      <c r="A3" s="5" t="inlineStr">
        <is>
          <t>JP-002</t>
        </is>
      </c>
      <c r="B3" s="5" t="inlineStr">
        <is>
          <t>Frontend Developer (React.js)</t>
        </is>
      </c>
      <c r="C3" s="5" t="inlineStr">
        <is>
          <t>Full-time</t>
        </is>
      </c>
      <c r="D3" s="5" t="inlineStr">
        <is>
          <t>Gorakhpur, Uttar Pradesh (On-site)</t>
        </is>
      </c>
      <c r="E3" s="5" t="inlineStr">
        <is>
          <t>2-4 years</t>
        </is>
      </c>
      <c r="F3" s="5" t="inlineStr">
        <is>
          <t>B.Tech/B.E./BCA/MCA or equivalent practical experience</t>
        </is>
      </c>
      <c r="G3" s="5" t="inlineStr">
        <is>
          <t>₹6,00,000 - ₹10,00,000 per year (APPROVED RANGE - confirm with HR)</t>
        </is>
      </c>
      <c r="H3" s="5" t="inlineStr">
        <is>
          <t>React.js, JavaScript (ES6+), TypeScript, HTML5, CSS3, Redux, REST integration, Git</t>
        </is>
      </c>
      <c r="I3" s="5" t="inlineStr">
        <is>
          <t>Join our product team to build fast, accessible and responsive user interfaces. You will turn designs into production-quality components and work closely with designers and backend engineers.</t>
        </is>
      </c>
      <c r="J3" s="5" t="inlineStr">
        <is>
          <t>- Build reusable, responsive UI components using React.js
- Integrate frontend with REST APIs
- Ensure cross-browser compatibility and accessibility
- Write unit tests and fix UI bugs
- Participate in sprint planning and code reviews</t>
        </is>
      </c>
      <c r="K3" s="5" t="inlineStr">
        <is>
          <t>react developer, frontend developer, javascript, typescript, web developer, ui developer</t>
        </is>
      </c>
    </row>
    <row r="4" ht="150" customHeight="1">
      <c r="A4" s="5" t="inlineStr">
        <is>
          <t>JP-003</t>
        </is>
      </c>
      <c r="B4" s="5" t="inlineStr">
        <is>
          <t>QA Automation Engineer</t>
        </is>
      </c>
      <c r="C4" s="5" t="inlineStr">
        <is>
          <t>Full-time</t>
        </is>
      </c>
      <c r="D4" s="5" t="inlineStr">
        <is>
          <t>Gorakhpur, Uttar Pradesh (Hybrid)</t>
        </is>
      </c>
      <c r="E4" s="5" t="inlineStr">
        <is>
          <t>2-5 years</t>
        </is>
      </c>
      <c r="F4" s="5" t="inlineStr">
        <is>
          <t>B.Tech/B.E./MCA in Computer Science or related field</t>
        </is>
      </c>
      <c r="G4" s="5" t="inlineStr">
        <is>
          <t>₹5,00,000 - ₹9,00,000 per year (APPROVED RANGE - confirm with HR)</t>
        </is>
      </c>
      <c r="H4" s="5" t="inlineStr">
        <is>
          <t>Selenium/Playwright, Python or Java, API testing (Postman), CI/CD (Jenkins/GitHub Actions), SQL, test planning</t>
        </is>
      </c>
      <c r="I4" s="5" t="inlineStr">
        <is>
          <t>We need a QA Automation Engineer to build and maintain automated test suites that keep our releases reliable and fast.</t>
        </is>
      </c>
      <c r="J4" s="5" t="inlineStr">
        <is>
          <t>- Design, develop and maintain automated UI and API test suites
- Create test plans and test cases from requirements
- Integrate automated tests into CI/CD pipelines
- Log, track and verify defects with the development team
- Report test coverage and quality metrics</t>
        </is>
      </c>
      <c r="K4" s="5" t="inlineStr">
        <is>
          <t>qa automation, test engineer, selenium, playwright, sdet, api testing, quality assurance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 this tracker</t>
        </is>
      </c>
    </row>
    <row r="2">
      <c r="A2" s="9" t="inlineStr">
        <is>
          <t>1. Yellow cells on the 'Tracker' sheet are for you to fill in (posting date, Indeed link/reference, approver).</t>
        </is>
      </c>
    </row>
    <row r="3">
      <c r="A3" s="9" t="inlineStr">
        <is>
          <t>2. Copy each posting's fields from the 'Postings' sheet into Indeed (Employers &gt; Post a job).</t>
        </is>
      </c>
    </row>
    <row r="4">
      <c r="A4" s="9" t="inlineStr">
        <is>
          <t>3. Confirm the salary range with HR before publishing; ranges shown are placeholders marked APPROVED RANGE - confirm.</t>
        </is>
      </c>
    </row>
    <row r="5">
      <c r="A5" s="9" t="inlineStr">
        <is>
          <t>4. Proofread (spelling, keywords, location, salary), then set 'Proofread' to Y.</t>
        </is>
      </c>
    </row>
    <row r="6">
      <c r="A6" s="9" t="inlineStr">
        <is>
          <t>5. After publishing, enter the posting date and the job URL (or Indeed job reference), then set Status = Published.</t>
        </is>
      </c>
    </row>
    <row r="7">
      <c r="A7" s="9" t="inlineStr">
        <is>
          <t>6. The summary at the top of 'Tracker' counts published postings automatically.</t>
        </is>
      </c>
    </row>
    <row r="8">
      <c r="A8" s="9" t="inlineStr"/>
    </row>
    <row r="9">
      <c r="A9" s="9" t="inlineStr">
        <is>
          <t>Assumptions: job roles, locations and salary bands are illustrative drafts prepared by the assistant; replace with your company's real, approved details.</t>
        </is>
      </c>
    </row>
    <row r="10">
      <c r="A10" s="9" t="inlineStr">
        <is>
          <t>No links are pre-filled because the postings have not been published yet.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2026-10-30T09:38:21Z</dcterms:created>
  <dcterms:modified xsi:type="dcterms:W3CDTF">2026-10-30T09:38:21Z</dcterms:modified>
</cp:coreProperties>
</file>