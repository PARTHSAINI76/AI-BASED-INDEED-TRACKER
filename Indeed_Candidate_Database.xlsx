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s" sheetId="2" state="visible" r:id="rId2"/>
    <sheet name="Applications" sheetId="3" state="visible" r:id="rId3"/>
    <sheet name="Access &amp; Handling" sheetId="4" state="visible" r:id="rId4"/>
  </sheets>
  <definedNames>
    <definedName name="_xlnm._FilterDatabase" localSheetId="1" hidden="1">'Candidates'!$A$1:$T$16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applyProtection="1" pivotButton="0" quotePrefix="0" xfId="0">
      <alignment vertical="top" wrapText="1"/>
      <protection locked="0" hidden="0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Indeed Candidate Shortlist - Summary</t>
        </is>
      </c>
    </row>
    <row r="2">
      <c r="A2" s="2" t="inlineStr">
        <is>
          <t>Generated 30-Oct-2026 by saini. CONFIDENTIAL - authorised recruitment team only.</t>
        </is>
      </c>
    </row>
    <row r="4">
      <c r="A4" s="3" t="inlineStr">
        <is>
          <t>Applications received (before consolidation)</t>
        </is>
      </c>
      <c r="B4" s="3">
        <f>COUNTA(Applications!A2:A20)</f>
        <v/>
      </c>
    </row>
    <row r="5">
      <c r="A5" s="3" t="inlineStr">
        <is>
          <t>Unique candidates (after consolidation)</t>
        </is>
      </c>
      <c r="B5" s="3">
        <f>COUNTA(Candidates!A2:A16)</f>
        <v/>
      </c>
    </row>
    <row r="6">
      <c r="A6" s="3" t="inlineStr">
        <is>
          <t>Duplicate / repeat records merged</t>
        </is>
      </c>
      <c r="B6" s="3">
        <f>B4-B5</f>
        <v/>
      </c>
    </row>
    <row r="8">
      <c r="A8" s="4" t="inlineStr">
        <is>
          <t>Status</t>
        </is>
      </c>
      <c r="B8" s="4" t="inlineStr">
        <is>
          <t>Candidates</t>
        </is>
      </c>
      <c r="C8" s="4" t="inlineStr">
        <is>
          <t>% of total</t>
        </is>
      </c>
    </row>
    <row r="9">
      <c r="A9" s="5" t="inlineStr">
        <is>
          <t>Shortlisted</t>
        </is>
      </c>
      <c r="B9" s="5">
        <f>COUNTIF(Candidates!O2:O16,A9)</f>
        <v/>
      </c>
      <c r="C9" s="6">
        <f>IF($B$5=0,0,B9/$B$5)</f>
        <v/>
      </c>
    </row>
    <row r="10">
      <c r="A10" s="5" t="inlineStr">
        <is>
          <t>On Hold</t>
        </is>
      </c>
      <c r="B10" s="5">
        <f>COUNTIF(Candidates!O2:O16,A10)</f>
        <v/>
      </c>
      <c r="C10" s="6">
        <f>IF($B$5=0,0,B10/$B$5)</f>
        <v/>
      </c>
    </row>
    <row r="11">
      <c r="A11" s="5" t="inlineStr">
        <is>
          <t>Not Shortlisted</t>
        </is>
      </c>
      <c r="B11" s="5">
        <f>COUNTIF(Candidates!O2:O16,A11)</f>
        <v/>
      </c>
      <c r="C11" s="6">
        <f>IF($B$5=0,0,B11/$B$5)</f>
        <v/>
      </c>
    </row>
    <row r="12">
      <c r="A12" s="2" t="inlineStr">
        <is>
          <t>Check: statuses sum to unique candidates</t>
        </is>
      </c>
      <c r="B12" s="2">
        <f>IF(SUM(B9:B11)=B5,"OK","MISMATCH")</f>
        <v/>
      </c>
    </row>
    <row r="14">
      <c r="A14" s="4" t="inlineStr">
        <is>
          <t>Shortlist priority</t>
        </is>
      </c>
      <c r="B14" s="4" t="inlineStr">
        <is>
          <t>Candidates</t>
        </is>
      </c>
    </row>
    <row r="15">
      <c r="A15" s="5" t="inlineStr">
        <is>
          <t>P1 - High</t>
        </is>
      </c>
      <c r="B15" s="5">
        <f>COUNTIF(Candidates!P2:P16,A15)</f>
        <v/>
      </c>
    </row>
    <row r="16">
      <c r="A16" s="5" t="inlineStr">
        <is>
          <t>P2 - Medium</t>
        </is>
      </c>
      <c r="B16" s="5">
        <f>COUNTIF(Candidates!P2:P16,A16)</f>
        <v/>
      </c>
    </row>
    <row r="17">
      <c r="A17" s="5" t="inlineStr">
        <is>
          <t>P3 - Low</t>
        </is>
      </c>
      <c r="B17" s="5">
        <f>COUNTIF(Candidates!P2:P16,A17)</f>
        <v/>
      </c>
    </row>
    <row r="18">
      <c r="A18" s="5" t="inlineStr">
        <is>
          <t>N/A</t>
        </is>
      </c>
      <c r="B18" s="5">
        <f>COUNTIF(Candidates!P2:P16,A18)</f>
        <v/>
      </c>
    </row>
    <row r="20">
      <c r="A20" s="4" t="inlineStr">
        <is>
          <t>Best-fit job</t>
        </is>
      </c>
      <c r="B20" s="4" t="inlineStr">
        <is>
          <t>Shortlisted</t>
        </is>
      </c>
      <c r="C20" s="4" t="inlineStr">
        <is>
          <t>On Hold</t>
        </is>
      </c>
      <c r="D20" s="4" t="inlineStr">
        <is>
          <t>Not Shortlisted</t>
        </is>
      </c>
      <c r="E20" s="4" t="inlineStr">
        <is>
          <t>Total</t>
        </is>
      </c>
    </row>
    <row r="21">
      <c r="A21" s="7" t="inlineStr">
        <is>
          <t>JP-001 - Senior Software Engineer (Backend - Python)</t>
        </is>
      </c>
      <c r="B21" s="7">
        <f>COUNTIFS(Candidates!$F$2:$F$16,"JP-001",Candidates!$O$2:$O$16,"Shortlisted")</f>
        <v/>
      </c>
      <c r="C21" s="7">
        <f>COUNTIFS(Candidates!$F$2:$F$16,"JP-001",Candidates!$O$2:$O$16,"On Hold")</f>
        <v/>
      </c>
      <c r="D21" s="7">
        <f>COUNTIFS(Candidates!$F$2:$F$16,"JP-001",Candidates!$O$2:$O$16,"Not Shortlisted")</f>
        <v/>
      </c>
      <c r="E21" s="7">
        <f>SUM(B21:D21)</f>
        <v/>
      </c>
    </row>
    <row r="22">
      <c r="A22" s="7" t="inlineStr">
        <is>
          <t>JP-002 - Frontend Developer (React.js)</t>
        </is>
      </c>
      <c r="B22" s="7">
        <f>COUNTIFS(Candidates!$F$2:$F$16,"JP-002",Candidates!$O$2:$O$16,"Shortlisted")</f>
        <v/>
      </c>
      <c r="C22" s="7">
        <f>COUNTIFS(Candidates!$F$2:$F$16,"JP-002",Candidates!$O$2:$O$16,"On Hold")</f>
        <v/>
      </c>
      <c r="D22" s="7">
        <f>COUNTIFS(Candidates!$F$2:$F$16,"JP-002",Candidates!$O$2:$O$16,"Not Shortlisted")</f>
        <v/>
      </c>
      <c r="E22" s="7">
        <f>SUM(B22:D22)</f>
        <v/>
      </c>
    </row>
    <row r="23">
      <c r="A23" s="7" t="inlineStr">
        <is>
          <t>JP-003 - QA Automation Engineer</t>
        </is>
      </c>
      <c r="B23" s="7">
        <f>COUNTIFS(Candidates!$F$2:$F$16,"JP-003",Candidates!$O$2:$O$16,"Shortlisted")</f>
        <v/>
      </c>
      <c r="C23" s="7">
        <f>COUNTIFS(Candidates!$F$2:$F$16,"JP-003",Candidates!$O$2:$O$16,"On Hold")</f>
        <v/>
      </c>
      <c r="D23" s="7">
        <f>COUNTIFS(Candidates!$F$2:$F$16,"JP-003",Candidates!$O$2:$O$16,"Not Shortlisted")</f>
        <v/>
      </c>
      <c r="E23" s="7">
        <f>SUM(B23:D23)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7" customWidth="1" min="4" max="4"/>
    <col width="14" customWidth="1" min="5" max="5"/>
    <col width="11" customWidth="1" min="6" max="6"/>
    <col width="16" customWidth="1" min="7" max="7"/>
    <col width="13" customWidth="1" min="8" max="8"/>
    <col width="14" customWidth="1" min="9" max="9"/>
    <col width="12" customWidth="1" min="10" max="10"/>
    <col width="38" customWidth="1" min="11" max="11"/>
    <col width="13" customWidth="1" min="12" max="12"/>
    <col width="13" customWidth="1" min="13" max="13"/>
    <col width="9" customWidth="1" min="14" max="14"/>
    <col width="17" customWidth="1" min="15" max="15"/>
    <col width="14" customWidth="1" min="16" max="16"/>
    <col width="55" customWidth="1" min="17" max="17"/>
    <col width="60" customWidth="1" min="18" max="18"/>
    <col width="28" customWidth="1" min="19" max="19"/>
    <col width="13" customWidth="1" min="20" max="20"/>
  </cols>
  <sheetData>
    <row r="1">
      <c r="A1" s="4" t="inlineStr">
        <is>
          <t>Candidate 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Location</t>
        </is>
      </c>
      <c r="F1" s="4" t="inlineStr">
        <is>
          <t>Best-fit Job</t>
        </is>
      </c>
      <c r="G1" s="4" t="inlineStr">
        <is>
          <t>Jobs Applied</t>
        </is>
      </c>
      <c r="H1" s="4" t="inlineStr">
        <is>
          <t>Applications Received</t>
        </is>
      </c>
      <c r="I1" s="4" t="inlineStr">
        <is>
          <t>Duplicate (repeat) Applications</t>
        </is>
      </c>
      <c r="J1" s="4" t="inlineStr">
        <is>
          <t>Relevant Experience (yrs)</t>
        </is>
      </c>
      <c r="K1" s="4" t="inlineStr">
        <is>
          <t>Key Skills</t>
        </is>
      </c>
      <c r="L1" s="4" t="inlineStr">
        <is>
          <t>First Applied</t>
        </is>
      </c>
      <c r="M1" s="4" t="inlineStr">
        <is>
          <t>Latest Applied</t>
        </is>
      </c>
      <c r="N1" s="4" t="inlineStr">
        <is>
          <t>Match Score</t>
        </is>
      </c>
      <c r="O1" s="4" t="inlineStr">
        <is>
          <t>Status</t>
        </is>
      </c>
      <c r="P1" s="4" t="inlineStr">
        <is>
          <t>Shortlist Priority</t>
        </is>
      </c>
      <c r="Q1" s="4" t="inlineStr">
        <is>
          <t>Reason (job-related)</t>
        </is>
      </c>
      <c r="R1" s="4" t="inlineStr">
        <is>
          <t>Screening Remarks</t>
        </is>
      </c>
      <c r="S1" s="4" t="inlineStr">
        <is>
          <t>Reviewer Notes</t>
        </is>
      </c>
      <c r="T1" s="4" t="inlineStr">
        <is>
          <t>Last Updated</t>
        </is>
      </c>
    </row>
    <row r="2" ht="48" customHeight="1">
      <c r="A2" s="8" t="inlineStr">
        <is>
          <t>CAND-001</t>
        </is>
      </c>
      <c r="B2" s="8" t="inlineStr">
        <is>
          <t>Sample Applicant 01</t>
        </is>
      </c>
      <c r="C2" s="8" t="inlineStr">
        <is>
          <t>s01@example.com</t>
        </is>
      </c>
      <c r="D2" s="8" t="inlineStr">
        <is>
          <t>+91-90000-00001</t>
        </is>
      </c>
      <c r="E2" s="8" t="inlineStr">
        <is>
          <t>Gorakhpur</t>
        </is>
      </c>
      <c r="F2" s="8" t="inlineStr">
        <is>
          <t>JP-001</t>
        </is>
      </c>
      <c r="G2" s="8" t="inlineStr">
        <is>
          <t>JP-001, JP-003</t>
        </is>
      </c>
      <c r="H2" s="8" t="n">
        <v>2</v>
      </c>
      <c r="I2" s="8" t="n">
        <v>0</v>
      </c>
      <c r="J2" s="8" t="n">
        <v>6</v>
      </c>
      <c r="K2" s="8" t="inlineStr">
        <is>
          <t>Aws; Django; Docker; Git; Postgresql; Python; Rest Api; Selenium; Sql</t>
        </is>
      </c>
      <c r="L2" s="9" t="n">
        <v>46324</v>
      </c>
      <c r="M2" s="9" t="n">
        <v>46324</v>
      </c>
      <c r="N2" s="8" t="n">
        <v>94</v>
      </c>
      <c r="O2" s="10" t="inlineStr">
        <is>
          <t>Shortlisted</t>
        </is>
      </c>
      <c r="P2" s="10" t="inlineStr">
        <is>
          <t>P1 - High</t>
        </is>
      </c>
      <c r="Q2" s="8" t="inlineStr">
        <is>
          <t>Meets criteria: 7/8 required skills, 6 yrs vs 4 needed</t>
        </is>
      </c>
      <c r="R2" s="8" t="inlineStr">
        <is>
          <t>Skills 7/8 matched (python, django, rest api, postgresql, docker, git, aws); Experience 6 yrs vs 4 required; Education fits; Location Gorakhpur acceptable; Notice 30d OK; Expected 18 LPA within approved max 20</t>
        </is>
      </c>
      <c r="S2" s="10" t="n"/>
      <c r="T2" s="9" t="n">
        <v>46325</v>
      </c>
    </row>
    <row r="3" ht="48" customHeight="1">
      <c r="A3" s="8" t="inlineStr">
        <is>
          <t>CAND-002</t>
        </is>
      </c>
      <c r="B3" s="8" t="inlineStr">
        <is>
          <t>Sample Applicant 06</t>
        </is>
      </c>
      <c r="C3" s="8" t="inlineStr">
        <is>
          <t>s06@example.com</t>
        </is>
      </c>
      <c r="D3" s="8" t="inlineStr">
        <is>
          <t>+91-90000-00006</t>
        </is>
      </c>
      <c r="E3" s="8" t="inlineStr">
        <is>
          <t>Gorakhpur</t>
        </is>
      </c>
      <c r="F3" s="8" t="inlineStr">
        <is>
          <t>JP-002</t>
        </is>
      </c>
      <c r="G3" s="8" t="inlineStr">
        <is>
          <t>JP-002</t>
        </is>
      </c>
      <c r="H3" s="8" t="n">
        <v>2</v>
      </c>
      <c r="I3" s="8" t="n">
        <v>1</v>
      </c>
      <c r="J3" s="8" t="n">
        <v>3</v>
      </c>
      <c r="K3" s="8" t="inlineStr">
        <is>
          <t>Css; Git; Html; Javascript; React; Redux; Typescript</t>
        </is>
      </c>
      <c r="L3" s="9" t="n">
        <v>46324</v>
      </c>
      <c r="M3" s="9" t="n">
        <v>46324</v>
      </c>
      <c r="N3" s="8" t="n">
        <v>94</v>
      </c>
      <c r="O3" s="10" t="inlineStr">
        <is>
          <t>Shortlisted</t>
        </is>
      </c>
      <c r="P3" s="10" t="inlineStr">
        <is>
          <t>P1 - High</t>
        </is>
      </c>
      <c r="Q3" s="8" t="inlineStr">
        <is>
          <t>Meets criteria: 7/8 required skills, 3 yrs vs 2 needed</t>
        </is>
      </c>
      <c r="R3" s="8" t="inlineStr">
        <is>
          <t>Skills 7/8 matched (react, javascript, typescript, html, css, redux, git); Experience 3 yrs vs 2 required; Education fits; Location Gorakhpur acceptable; Notice 30d OK; Expected 9 LPA within approved max 10</t>
        </is>
      </c>
      <c r="S3" s="10" t="n"/>
      <c r="T3" s="9" t="n">
        <v>46325</v>
      </c>
    </row>
    <row r="4" ht="48" customHeight="1">
      <c r="A4" s="8" t="inlineStr">
        <is>
          <t>CAND-003</t>
        </is>
      </c>
      <c r="B4" s="8" t="inlineStr">
        <is>
          <t>Sample Applicant 11</t>
        </is>
      </c>
      <c r="C4" s="8" t="inlineStr">
        <is>
          <t>s11@example.com</t>
        </is>
      </c>
      <c r="D4" s="8" t="inlineStr">
        <is>
          <t>+91-90000-00011</t>
        </is>
      </c>
      <c r="E4" s="8" t="inlineStr">
        <is>
          <t>Gorakhpur</t>
        </is>
      </c>
      <c r="F4" s="8" t="inlineStr">
        <is>
          <t>JP-003</t>
        </is>
      </c>
      <c r="G4" s="8" t="inlineStr">
        <is>
          <t>JP-003</t>
        </is>
      </c>
      <c r="H4" s="8" t="n">
        <v>1</v>
      </c>
      <c r="I4" s="8" t="n">
        <v>0</v>
      </c>
      <c r="J4" s="8" t="n">
        <v>3</v>
      </c>
      <c r="K4" s="8" t="inlineStr">
        <is>
          <t>Jenkins; Postman; Python; Selenium; Sql; Test Planning</t>
        </is>
      </c>
      <c r="L4" s="9" t="n">
        <v>46324</v>
      </c>
      <c r="M4" s="9" t="n">
        <v>46324</v>
      </c>
      <c r="N4" s="8" t="n">
        <v>88</v>
      </c>
      <c r="O4" s="10" t="inlineStr">
        <is>
          <t>Shortlisted</t>
        </is>
      </c>
      <c r="P4" s="10" t="inlineStr">
        <is>
          <t>P1 - High</t>
        </is>
      </c>
      <c r="Q4" s="8" t="inlineStr">
        <is>
          <t>Meets criteria: 6/8 required skills, 3 yrs vs 2 needed</t>
        </is>
      </c>
      <c r="R4" s="8" t="inlineStr">
        <is>
          <t>Skills 6/8 matched (selenium, python, postman, jenkins, sql, test planning); Experience 3 yrs vs 2 required; Education fits; Location Gorakhpur acceptable; Notice 30d OK; Expected 8 LPA within approved max 9</t>
        </is>
      </c>
      <c r="S4" s="10" t="n"/>
      <c r="T4" s="9" t="n">
        <v>46325</v>
      </c>
    </row>
    <row r="5" ht="48" customHeight="1">
      <c r="A5" s="8" t="inlineStr">
        <is>
          <t>CAND-004</t>
        </is>
      </c>
      <c r="B5" s="8" t="inlineStr">
        <is>
          <t>Sample Applicant 02</t>
        </is>
      </c>
      <c r="C5" s="8" t="inlineStr">
        <is>
          <t>s02@example.com</t>
        </is>
      </c>
      <c r="D5" s="8" t="inlineStr">
        <is>
          <t>+91-90000-00002</t>
        </is>
      </c>
      <c r="E5" s="8" t="inlineStr">
        <is>
          <t>Lucknow</t>
        </is>
      </c>
      <c r="F5" s="8" t="inlineStr">
        <is>
          <t>JP-001</t>
        </is>
      </c>
      <c r="G5" s="8" t="inlineStr">
        <is>
          <t>JP-001</t>
        </is>
      </c>
      <c r="H5" s="8" t="n">
        <v>1</v>
      </c>
      <c r="I5" s="8" t="n">
        <v>0</v>
      </c>
      <c r="J5" s="8" t="n">
        <v>4</v>
      </c>
      <c r="K5" s="8" t="inlineStr">
        <is>
          <t>Fastapi; Git; Python; Rest Api</t>
        </is>
      </c>
      <c r="L5" s="9" t="n">
        <v>46323</v>
      </c>
      <c r="M5" s="9" t="n">
        <v>46323</v>
      </c>
      <c r="N5" s="8" t="n">
        <v>75</v>
      </c>
      <c r="O5" s="10" t="inlineStr">
        <is>
          <t>Shortlisted</t>
        </is>
      </c>
      <c r="P5" s="10" t="inlineStr">
        <is>
          <t>P2 - Medium</t>
        </is>
      </c>
      <c r="Q5" s="8" t="inlineStr">
        <is>
          <t>Meets criteria: 4/8 required skills, 4 yrs vs 4 needed</t>
        </is>
      </c>
      <c r="R5" s="8" t="inlineStr">
        <is>
          <t>Skills 4/8 matched (python, fastapi, rest api, git); Experience 4 yrs vs 4 required; Education fits; Location Lucknow acceptable; Notice 60d OK; Expected 19 LPA within approved max 20</t>
        </is>
      </c>
      <c r="S5" s="10" t="n"/>
      <c r="T5" s="9" t="n">
        <v>46325</v>
      </c>
    </row>
    <row r="6" ht="48" customHeight="1">
      <c r="A6" s="8" t="inlineStr">
        <is>
          <t>CAND-005</t>
        </is>
      </c>
      <c r="B6" s="8" t="inlineStr">
        <is>
          <t>Sample Applicant 15</t>
        </is>
      </c>
      <c r="C6" s="8" t="inlineStr">
        <is>
          <t>s15@example.com</t>
        </is>
      </c>
      <c r="D6" s="8" t="inlineStr">
        <is>
          <t>+91-90000-00015</t>
        </is>
      </c>
      <c r="E6" s="8" t="inlineStr">
        <is>
          <t>Gorakhpur</t>
        </is>
      </c>
      <c r="F6" s="8" t="inlineStr">
        <is>
          <t>JP-003</t>
        </is>
      </c>
      <c r="G6" s="8" t="inlineStr">
        <is>
          <t>JP-003</t>
        </is>
      </c>
      <c r="H6" s="8" t="n">
        <v>2</v>
      </c>
      <c r="I6" s="8" t="n">
        <v>1</v>
      </c>
      <c r="J6" s="8" t="n">
        <v>3</v>
      </c>
      <c r="K6" s="8" t="inlineStr">
        <is>
          <t>Python; Selenium; Sql</t>
        </is>
      </c>
      <c r="L6" s="9" t="n">
        <v>46320</v>
      </c>
      <c r="M6" s="9" t="n">
        <v>46320</v>
      </c>
      <c r="N6" s="8" t="n">
        <v>69</v>
      </c>
      <c r="O6" s="10" t="inlineStr">
        <is>
          <t>On Hold</t>
        </is>
      </c>
      <c r="P6" s="10" t="inlineStr">
        <is>
          <t>P3 - Low</t>
        </is>
      </c>
      <c r="Q6" s="8" t="inlineStr">
        <is>
          <t>Partial fit: 3/8 required skills, 3 yrs vs 2 needed</t>
        </is>
      </c>
      <c r="R6" s="8" t="inlineStr">
        <is>
          <t>Skills 3/8 matched (selenium, python, sql); Experience 3 yrs vs 2 required; Education fits; Location Gorakhpur acceptable; Notice 30d OK; Expected 8 LPA within approved max 9</t>
        </is>
      </c>
      <c r="S6" s="10" t="n"/>
      <c r="T6" s="9" t="n">
        <v>46325</v>
      </c>
    </row>
    <row r="7" ht="48" customHeight="1">
      <c r="A7" s="8" t="inlineStr">
        <is>
          <t>CAND-006</t>
        </is>
      </c>
      <c r="B7" s="8" t="inlineStr">
        <is>
          <t>Sample Applicant 12</t>
        </is>
      </c>
      <c r="C7" s="8" t="inlineStr">
        <is>
          <t>s12@example.com</t>
        </is>
      </c>
      <c r="D7" s="8" t="inlineStr">
        <is>
          <t>+91-90000-00012</t>
        </is>
      </c>
      <c r="E7" s="8" t="inlineStr">
        <is>
          <t>Lucknow</t>
        </is>
      </c>
      <c r="F7" s="8" t="inlineStr">
        <is>
          <t>JP-003</t>
        </is>
      </c>
      <c r="G7" s="8" t="inlineStr">
        <is>
          <t>JP-003</t>
        </is>
      </c>
      <c r="H7" s="8" t="n">
        <v>1</v>
      </c>
      <c r="I7" s="8" t="n">
        <v>0</v>
      </c>
      <c r="J7" s="8" t="n">
        <v>2</v>
      </c>
      <c r="K7" s="8" t="inlineStr">
        <is>
          <t>Java; Selenium</t>
        </is>
      </c>
      <c r="L7" s="9" t="n">
        <v>46323</v>
      </c>
      <c r="M7" s="9" t="n">
        <v>46323</v>
      </c>
      <c r="N7" s="8" t="n">
        <v>62</v>
      </c>
      <c r="O7" s="10" t="inlineStr">
        <is>
          <t>On Hold</t>
        </is>
      </c>
      <c r="P7" s="10" t="inlineStr">
        <is>
          <t>P3 - Low</t>
        </is>
      </c>
      <c r="Q7" s="8" t="inlineStr">
        <is>
          <t>Partial fit: 2/8 required skills, 2 yrs vs 2 needed</t>
        </is>
      </c>
      <c r="R7" s="8" t="inlineStr">
        <is>
          <t>Skills 2/8 matched (selenium, java); Experience 2 yrs vs 2 required; Education fits; Location Lucknow acceptable; Notice 45d OK; Expected 7 LPA within approved max 9</t>
        </is>
      </c>
      <c r="S7" s="10" t="n"/>
      <c r="T7" s="9" t="n">
        <v>46325</v>
      </c>
    </row>
    <row r="8" ht="48" customHeight="1">
      <c r="A8" s="8" t="inlineStr">
        <is>
          <t>CAND-007</t>
        </is>
      </c>
      <c r="B8" s="8" t="inlineStr">
        <is>
          <t>Sample Applicant 09</t>
        </is>
      </c>
      <c r="C8" s="8" t="inlineStr">
        <is>
          <t>s09@example.com</t>
        </is>
      </c>
      <c r="D8" s="8" t="inlineStr">
        <is>
          <t>+91-90000-00009</t>
        </is>
      </c>
      <c r="E8" s="8" t="inlineStr">
        <is>
          <t>Gorakhpur</t>
        </is>
      </c>
      <c r="F8" s="8" t="inlineStr">
        <is>
          <t>JP-002</t>
        </is>
      </c>
      <c r="G8" s="8" t="inlineStr">
        <is>
          <t>JP-002</t>
        </is>
      </c>
      <c r="H8" s="8" t="n">
        <v>2</v>
      </c>
      <c r="I8" s="8" t="n">
        <v>1</v>
      </c>
      <c r="J8" s="8" t="n">
        <v>2</v>
      </c>
      <c r="K8" s="8" t="inlineStr">
        <is>
          <t>Css; Javascript; React</t>
        </is>
      </c>
      <c r="L8" s="9" t="n">
        <v>46321</v>
      </c>
      <c r="M8" s="9" t="n">
        <v>46321</v>
      </c>
      <c r="N8" s="8" t="n">
        <v>59</v>
      </c>
      <c r="O8" s="10" t="inlineStr">
        <is>
          <t>On Hold</t>
        </is>
      </c>
      <c r="P8" s="10" t="inlineStr">
        <is>
          <t>P3 - Low</t>
        </is>
      </c>
      <c r="Q8" s="8" t="inlineStr">
        <is>
          <t>Partial fit: 3/8 required skills, 2 yrs vs 2 needed</t>
        </is>
      </c>
      <c r="R8" s="8" t="inlineStr">
        <is>
          <t>Skills 3/8 matched (react, javascript, css); Experience 2 yrs vs 2 required; Education not in preferred list; Location Gorakhpur acceptable; Notice 15d OK; Expected 8 LPA within approved max 10</t>
        </is>
      </c>
      <c r="S8" s="10" t="n"/>
      <c r="T8" s="9" t="n">
        <v>46325</v>
      </c>
    </row>
    <row r="9" ht="48" customHeight="1">
      <c r="A9" s="8" t="inlineStr">
        <is>
          <t>CAND-008</t>
        </is>
      </c>
      <c r="B9" s="8" t="inlineStr">
        <is>
          <t>Sample Applicant 14</t>
        </is>
      </c>
      <c r="C9" s="8" t="inlineStr">
        <is>
          <t>s14@example.com</t>
        </is>
      </c>
      <c r="D9" s="8" t="inlineStr">
        <is>
          <t>+91-90000-00014</t>
        </is>
      </c>
      <c r="E9" s="8" t="inlineStr">
        <is>
          <t>Pune</t>
        </is>
      </c>
      <c r="F9" s="8" t="inlineStr">
        <is>
          <t>JP-003</t>
        </is>
      </c>
      <c r="G9" s="8" t="inlineStr">
        <is>
          <t>JP-003</t>
        </is>
      </c>
      <c r="H9" s="8" t="n">
        <v>1</v>
      </c>
      <c r="I9" s="8" t="n">
        <v>0</v>
      </c>
      <c r="J9" s="8" t="n">
        <v>4</v>
      </c>
      <c r="K9" s="8" t="inlineStr">
        <is>
          <t>Playwright; Python; Sql</t>
        </is>
      </c>
      <c r="L9" s="9" t="n">
        <v>46320</v>
      </c>
      <c r="M9" s="9" t="n">
        <v>46320</v>
      </c>
      <c r="N9" s="8" t="n">
        <v>56</v>
      </c>
      <c r="O9" s="10" t="inlineStr">
        <is>
          <t>On Hold</t>
        </is>
      </c>
      <c r="P9" s="10" t="inlineStr">
        <is>
          <t>P3 - Low</t>
        </is>
      </c>
      <c r="Q9" s="8" t="inlineStr">
        <is>
          <t>Partial fit: 3/8 required skills, 4 yrs vs 2 needed; expected 12 LPA above approved max 9; location Pune outside job locations</t>
        </is>
      </c>
      <c r="R9" s="8" t="inlineStr">
        <is>
          <t>Skills 3/8 matched (playwright, python, sql); Experience 4 yrs vs 2 required; Education fits; Location Pune outside job locations; Notice 30d OK; Expected 12 LPA above approved max 9</t>
        </is>
      </c>
      <c r="S9" s="10" t="n"/>
      <c r="T9" s="9" t="n">
        <v>46325</v>
      </c>
    </row>
    <row r="10" ht="48" customHeight="1">
      <c r="A10" s="8" t="inlineStr">
        <is>
          <t>CAND-009</t>
        </is>
      </c>
      <c r="B10" s="8" t="inlineStr">
        <is>
          <t>Sample Applicant 07</t>
        </is>
      </c>
      <c r="C10" s="8" t="inlineStr">
        <is>
          <t>s07@example.com</t>
        </is>
      </c>
      <c r="D10" s="8" t="inlineStr">
        <is>
          <t>+91-90000-00007</t>
        </is>
      </c>
      <c r="E10" s="8" t="inlineStr">
        <is>
          <t>Gorakhpur</t>
        </is>
      </c>
      <c r="F10" s="8" t="inlineStr">
        <is>
          <t>JP-002</t>
        </is>
      </c>
      <c r="G10" s="8" t="inlineStr">
        <is>
          <t>JP-002</t>
        </is>
      </c>
      <c r="H10" s="8" t="n">
        <v>1</v>
      </c>
      <c r="I10" s="8" t="n">
        <v>0</v>
      </c>
      <c r="J10" s="8" t="n">
        <v>0</v>
      </c>
      <c r="K10" s="8" t="inlineStr">
        <is>
          <t>Css; Html; Javascript</t>
        </is>
      </c>
      <c r="L10" s="9" t="n">
        <v>46323</v>
      </c>
      <c r="M10" s="9" t="n">
        <v>46323</v>
      </c>
      <c r="N10" s="8" t="n">
        <v>44</v>
      </c>
      <c r="O10" s="10" t="inlineStr">
        <is>
          <t>On Hold</t>
        </is>
      </c>
      <c r="P10" s="10" t="inlineStr">
        <is>
          <t>P3 - Low</t>
        </is>
      </c>
      <c r="Q10" s="8" t="inlineStr">
        <is>
          <t>Partial fit: 3/8 required skills, 0 yrs vs 2 needed</t>
        </is>
      </c>
      <c r="R10" s="8" t="inlineStr">
        <is>
          <t>Skills 3/8 matched (javascript, html, css); Experience 0 yrs vs 2 required (below requirement); Education fits; Location Gorakhpur acceptable; Notice 0d OK; Expected 4 LPA within approved max 10</t>
        </is>
      </c>
      <c r="S10" s="10" t="n"/>
      <c r="T10" s="9" t="n">
        <v>46325</v>
      </c>
    </row>
    <row r="11" ht="48" customHeight="1">
      <c r="A11" s="8" t="inlineStr">
        <is>
          <t>CAND-010</t>
        </is>
      </c>
      <c r="B11" s="8" t="inlineStr">
        <is>
          <t>Sample Applicant 08</t>
        </is>
      </c>
      <c r="C11" s="8" t="inlineStr">
        <is>
          <t>s08@example.com</t>
        </is>
      </c>
      <c r="D11" s="8" t="inlineStr">
        <is>
          <t>+91-90000-00008</t>
        </is>
      </c>
      <c r="E11" s="8" t="inlineStr">
        <is>
          <t>Mumbai</t>
        </is>
      </c>
      <c r="F11" s="8" t="inlineStr">
        <is>
          <t>JP-002</t>
        </is>
      </c>
      <c r="G11" s="8" t="inlineStr">
        <is>
          <t>JP-002</t>
        </is>
      </c>
      <c r="H11" s="8" t="n">
        <v>1</v>
      </c>
      <c r="I11" s="8" t="n">
        <v>0</v>
      </c>
      <c r="J11" s="8" t="n">
        <v>5</v>
      </c>
      <c r="K11" s="8" t="inlineStr">
        <is>
          <t>Angular; Javascript</t>
        </is>
      </c>
      <c r="L11" s="9" t="n">
        <v>46321</v>
      </c>
      <c r="M11" s="9" t="n">
        <v>46321</v>
      </c>
      <c r="N11" s="8" t="n">
        <v>42</v>
      </c>
      <c r="O11" s="10" t="inlineStr">
        <is>
          <t>On Hold</t>
        </is>
      </c>
      <c r="P11" s="10" t="inlineStr">
        <is>
          <t>P3 - Low</t>
        </is>
      </c>
      <c r="Q11" s="8" t="inlineStr">
        <is>
          <t>Partial fit: 1/8 required skills, 5 yrs vs 2 needed; expected 16 LPA above approved max 10; notice 90d exceeds 45d; location Mumbai outside job locations</t>
        </is>
      </c>
      <c r="R11" s="8" t="inlineStr">
        <is>
          <t>Skills 1/8 matched (javascript); Experience 5 yrs vs 2 required; Education fits; Location Mumbai outside job locations; Notice 90d too long; Expected 16 LPA above approved max 10</t>
        </is>
      </c>
      <c r="S11" s="10" t="n"/>
      <c r="T11" s="9" t="n">
        <v>46325</v>
      </c>
    </row>
    <row r="12" ht="48" customHeight="1">
      <c r="A12" s="8" t="inlineStr">
        <is>
          <t>CAND-011</t>
        </is>
      </c>
      <c r="B12" s="8" t="inlineStr">
        <is>
          <t>Sample Applicant 05</t>
        </is>
      </c>
      <c r="C12" s="8" t="inlineStr">
        <is>
          <t>s05@example.com</t>
        </is>
      </c>
      <c r="D12" s="8" t="inlineStr">
        <is>
          <t>+91-90000-00005</t>
        </is>
      </c>
      <c r="E12" s="8" t="inlineStr"/>
      <c r="F12" s="8" t="inlineStr">
        <is>
          <t>JP-001</t>
        </is>
      </c>
      <c r="G12" s="8" t="inlineStr">
        <is>
          <t>JP-001</t>
        </is>
      </c>
      <c r="H12" s="8" t="n">
        <v>1</v>
      </c>
      <c r="I12" s="8" t="n">
        <v>0</v>
      </c>
      <c r="J12" s="8" t="inlineStr"/>
      <c r="K12" s="8" t="inlineStr"/>
      <c r="L12" s="9" t="n">
        <v>46322</v>
      </c>
      <c r="M12" s="9" t="n">
        <v>46322</v>
      </c>
      <c r="N12" s="8" t="n">
        <v>0</v>
      </c>
      <c r="O12" s="10" t="inlineStr">
        <is>
          <t>On Hold</t>
        </is>
      </c>
      <c r="P12" s="10" t="inlineStr">
        <is>
          <t>P3 - Low</t>
        </is>
      </c>
      <c r="Q12" s="8" t="inlineStr">
        <is>
          <t>Profile incomplete (Missing: skills, experience_years, education, location) - request missing details</t>
        </is>
      </c>
      <c r="R12" s="8" t="inlineStr">
        <is>
          <t>Missing: skills, experience_years, education, location</t>
        </is>
      </c>
      <c r="S12" s="10" t="n"/>
      <c r="T12" s="9" t="n">
        <v>46325</v>
      </c>
    </row>
    <row r="13" ht="48" customHeight="1">
      <c r="A13" s="8" t="inlineStr">
        <is>
          <t>CAND-012</t>
        </is>
      </c>
      <c r="B13" s="8" t="inlineStr">
        <is>
          <t>Sample Applicant 10</t>
        </is>
      </c>
      <c r="C13" s="8" t="inlineStr">
        <is>
          <t>s10@example.com</t>
        </is>
      </c>
      <c r="D13" s="8" t="inlineStr">
        <is>
          <t>+91-90000-00010</t>
        </is>
      </c>
      <c r="E13" s="8" t="inlineStr">
        <is>
          <t>Gorakhpur</t>
        </is>
      </c>
      <c r="F13" s="8" t="inlineStr">
        <is>
          <t>JP-002</t>
        </is>
      </c>
      <c r="G13" s="8" t="inlineStr">
        <is>
          <t>JP-002</t>
        </is>
      </c>
      <c r="H13" s="8" t="n">
        <v>1</v>
      </c>
      <c r="I13" s="8" t="n">
        <v>0</v>
      </c>
      <c r="J13" s="8" t="n">
        <v>4</v>
      </c>
      <c r="K13" s="8" t="inlineStr">
        <is>
          <t>Accounting; Tally</t>
        </is>
      </c>
      <c r="L13" s="9" t="n">
        <v>46320</v>
      </c>
      <c r="M13" s="9" t="n">
        <v>46320</v>
      </c>
      <c r="N13" s="8" t="n">
        <v>40</v>
      </c>
      <c r="O13" s="10" t="inlineStr">
        <is>
          <t>Not Shortlisted</t>
        </is>
      </c>
      <c r="P13" s="10" t="inlineStr">
        <is>
          <t>N/A</t>
        </is>
      </c>
      <c r="Q13" s="8" t="inlineStr">
        <is>
          <t>Does not meet core criteria: 0/8 required skills, 4 yrs vs 2 needed</t>
        </is>
      </c>
      <c r="R13" s="8" t="inlineStr">
        <is>
          <t>Skills 0/8 matched (none); Experience 4 yrs vs 2 required; Education not in preferred list; Location Gorakhpur acceptable; Notice 15d OK; Expected 4 LPA within approved max 10; No required skills matched - experience is not in the job's field</t>
        </is>
      </c>
      <c r="S13" s="10" t="n"/>
      <c r="T13" s="9" t="n">
        <v>46325</v>
      </c>
    </row>
    <row r="14" ht="48" customHeight="1">
      <c r="A14" s="8" t="inlineStr">
        <is>
          <t>CAND-013</t>
        </is>
      </c>
      <c r="B14" s="8" t="inlineStr">
        <is>
          <t>Sample Applicant 04</t>
        </is>
      </c>
      <c r="C14" s="8" t="inlineStr">
        <is>
          <t>s04@example.com</t>
        </is>
      </c>
      <c r="D14" s="8" t="inlineStr">
        <is>
          <t>+91-90000-00004</t>
        </is>
      </c>
      <c r="E14" s="8" t="inlineStr">
        <is>
          <t>Gorakhpur</t>
        </is>
      </c>
      <c r="F14" s="8" t="inlineStr">
        <is>
          <t>JP-001</t>
        </is>
      </c>
      <c r="G14" s="8" t="inlineStr">
        <is>
          <t>JP-001</t>
        </is>
      </c>
      <c r="H14" s="8" t="n">
        <v>1</v>
      </c>
      <c r="I14" s="8" t="n">
        <v>0</v>
      </c>
      <c r="J14" s="8" t="n">
        <v>0</v>
      </c>
      <c r="K14" s="8" t="inlineStr">
        <is>
          <t>Git; Python</t>
        </is>
      </c>
      <c r="L14" s="9" t="n">
        <v>46322</v>
      </c>
      <c r="M14" s="9" t="n">
        <v>46322</v>
      </c>
      <c r="N14" s="8" t="n">
        <v>38</v>
      </c>
      <c r="O14" s="10" t="inlineStr">
        <is>
          <t>Not Shortlisted</t>
        </is>
      </c>
      <c r="P14" s="10" t="inlineStr">
        <is>
          <t>N/A</t>
        </is>
      </c>
      <c r="Q14" s="8" t="inlineStr">
        <is>
          <t>Does not meet core criteria: 2/8 required skills, 0 yrs vs 4 needed</t>
        </is>
      </c>
      <c r="R14" s="8" t="inlineStr">
        <is>
          <t>Skills 2/8 matched (python, git); Experience 0 yrs vs 4 required (below requirement); Education fits; Location Gorakhpur acceptable; Notice 0d OK; Expected 5 LPA within approved max 20</t>
        </is>
      </c>
      <c r="S14" s="10" t="n"/>
      <c r="T14" s="9" t="n">
        <v>46325</v>
      </c>
    </row>
    <row r="15" ht="48" customHeight="1">
      <c r="A15" s="8" t="inlineStr">
        <is>
          <t>CAND-014</t>
        </is>
      </c>
      <c r="B15" s="8" t="inlineStr">
        <is>
          <t>Sample Applicant 13</t>
        </is>
      </c>
      <c r="C15" s="8" t="inlineStr">
        <is>
          <t>s13@example.com</t>
        </is>
      </c>
      <c r="D15" s="8" t="inlineStr">
        <is>
          <t>+91-90000-00013</t>
        </is>
      </c>
      <c r="E15" s="8" t="inlineStr">
        <is>
          <t>Gorakhpur</t>
        </is>
      </c>
      <c r="F15" s="8" t="inlineStr">
        <is>
          <t>JP-003</t>
        </is>
      </c>
      <c r="G15" s="8" t="inlineStr">
        <is>
          <t>JP-003</t>
        </is>
      </c>
      <c r="H15" s="8" t="n">
        <v>1</v>
      </c>
      <c r="I15" s="8" t="n">
        <v>0</v>
      </c>
      <c r="J15" s="8" t="n">
        <v>0</v>
      </c>
      <c r="K15" s="8" t="inlineStr">
        <is>
          <t>Manual Testing; Sql</t>
        </is>
      </c>
      <c r="L15" s="9" t="n">
        <v>46322</v>
      </c>
      <c r="M15" s="9" t="n">
        <v>46322</v>
      </c>
      <c r="N15" s="8" t="n">
        <v>31</v>
      </c>
      <c r="O15" s="10" t="inlineStr">
        <is>
          <t>Not Shortlisted</t>
        </is>
      </c>
      <c r="P15" s="10" t="inlineStr">
        <is>
          <t>N/A</t>
        </is>
      </c>
      <c r="Q15" s="8" t="inlineStr">
        <is>
          <t>Does not meet core criteria: 1/8 required skills, 0 yrs vs 2 needed</t>
        </is>
      </c>
      <c r="R15" s="8" t="inlineStr">
        <is>
          <t>Skills 1/8 matched (sql); Experience 0 yrs vs 2 required (below requirement); Education fits; Location Gorakhpur acceptable; Notice 0d OK; Expected 3.5 LPA within approved max 9</t>
        </is>
      </c>
      <c r="S15" s="10" t="n"/>
      <c r="T15" s="9" t="n">
        <v>46325</v>
      </c>
    </row>
    <row r="16" ht="48" customHeight="1">
      <c r="A16" s="8" t="inlineStr">
        <is>
          <t>CAND-015</t>
        </is>
      </c>
      <c r="B16" s="8" t="inlineStr">
        <is>
          <t>Sample Applicant 03</t>
        </is>
      </c>
      <c r="C16" s="8" t="inlineStr">
        <is>
          <t>s03@example.com</t>
        </is>
      </c>
      <c r="D16" s="8" t="inlineStr">
        <is>
          <t>+91-90000-00003</t>
        </is>
      </c>
      <c r="E16" s="8" t="inlineStr">
        <is>
          <t>Delhi</t>
        </is>
      </c>
      <c r="F16" s="8" t="inlineStr">
        <is>
          <t>JP-001</t>
        </is>
      </c>
      <c r="G16" s="8" t="inlineStr">
        <is>
          <t>JP-001</t>
        </is>
      </c>
      <c r="H16" s="8" t="n">
        <v>1</v>
      </c>
      <c r="I16" s="8" t="n">
        <v>0</v>
      </c>
      <c r="J16" s="8" t="n">
        <v>2</v>
      </c>
      <c r="K16" s="8" t="inlineStr">
        <is>
          <t>Java; Spring</t>
        </is>
      </c>
      <c r="L16" s="9" t="n">
        <v>46323</v>
      </c>
      <c r="M16" s="9" t="n">
        <v>46323</v>
      </c>
      <c r="N16" s="8" t="n">
        <v>28</v>
      </c>
      <c r="O16" s="10" t="inlineStr">
        <is>
          <t>Not Shortlisted</t>
        </is>
      </c>
      <c r="P16" s="10" t="inlineStr">
        <is>
          <t>N/A</t>
        </is>
      </c>
      <c r="Q16" s="8" t="inlineStr">
        <is>
          <t>Does not meet core criteria: 0/8 required skills, 2 yrs vs 4 needed; location Delhi outside job locations</t>
        </is>
      </c>
      <c r="R16" s="8" t="inlineStr">
        <is>
          <t>Skills 0/8 matched (none); Experience 2 yrs vs 4 required (below requirement); Education fits; Location Delhi outside job locations; Notice 30d OK; Expected 14 LPA within approved max 20; No required skills matched - experience is not in the job's field</t>
        </is>
      </c>
      <c r="S16" s="10" t="n"/>
      <c r="T16" s="9" t="n">
        <v>46325</v>
      </c>
    </row>
  </sheetData>
  <autoFilter ref="A1:T16"/>
  <dataValidations count="2">
    <dataValidation sqref="O2:O16" showDropDown="0" showInputMessage="0" showErrorMessage="0" allowBlank="0" type="list">
      <formula1>"Shortlisted,On Hold,Not Shortlisted"</formula1>
    </dataValidation>
    <dataValidation sqref="P2:P16" showDropDown="0" showInputMessage="0" showErrorMessage="0" allowBlank="0" type="list">
      <formula1>"P1 - High,P2 - Medium,P3 - 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3" customWidth="1" min="4" max="4"/>
    <col width="20" customWidth="1" min="5" max="5"/>
    <col width="8" customWidth="1" min="6" max="6"/>
    <col width="16" customWidth="1" min="7" max="7"/>
  </cols>
  <sheetData>
    <row r="1">
      <c r="A1" s="4" t="inlineStr">
        <is>
          <t>Source Applicant ID</t>
        </is>
      </c>
      <c r="B1" s="4" t="inlineStr">
        <is>
          <t>Candidate ID</t>
        </is>
      </c>
      <c r="C1" s="4" t="inlineStr">
        <is>
          <t>Job</t>
        </is>
      </c>
      <c r="D1" s="4" t="inlineStr">
        <is>
          <t>Applied Date</t>
        </is>
      </c>
      <c r="E1" s="4" t="inlineStr">
        <is>
          <t>Task 2 Category</t>
        </is>
      </c>
      <c r="F1" s="4" t="inlineStr">
        <is>
          <t>Score</t>
        </is>
      </c>
      <c r="G1" s="4" t="inlineStr">
        <is>
          <t>Repeat for same job?</t>
        </is>
      </c>
    </row>
    <row r="2">
      <c r="A2" s="8" t="inlineStr">
        <is>
          <t>AP-001</t>
        </is>
      </c>
      <c r="B2" s="8" t="inlineStr">
        <is>
          <t>CAND-001</t>
        </is>
      </c>
      <c r="C2" s="8" t="inlineStr">
        <is>
          <t>JP-001</t>
        </is>
      </c>
      <c r="D2" s="9" t="n">
        <v>46324</v>
      </c>
      <c r="E2" s="8" t="inlineStr">
        <is>
          <t>Relevant/Suitable</t>
        </is>
      </c>
      <c r="F2" s="8" t="n">
        <v>94</v>
      </c>
      <c r="G2" s="8" t="inlineStr">
        <is>
          <t>No</t>
        </is>
      </c>
    </row>
    <row r="3">
      <c r="A3" s="8" t="inlineStr">
        <is>
          <t>AP-017</t>
        </is>
      </c>
      <c r="B3" s="8" t="inlineStr">
        <is>
          <t>CAND-001</t>
        </is>
      </c>
      <c r="C3" s="8" t="inlineStr">
        <is>
          <t>JP-003</t>
        </is>
      </c>
      <c r="D3" s="9" t="n">
        <v>46324</v>
      </c>
      <c r="E3" s="8" t="inlineStr">
        <is>
          <t>Partially Relevant</t>
        </is>
      </c>
      <c r="F3" s="8" t="n">
        <v>66</v>
      </c>
      <c r="G3" s="8" t="inlineStr">
        <is>
          <t>No</t>
        </is>
      </c>
    </row>
    <row r="4">
      <c r="A4" s="8" t="inlineStr">
        <is>
          <t>AP-006</t>
        </is>
      </c>
      <c r="B4" s="8" t="inlineStr">
        <is>
          <t>CAND-002</t>
        </is>
      </c>
      <c r="C4" s="8" t="inlineStr">
        <is>
          <t>JP-002</t>
        </is>
      </c>
      <c r="D4" s="9" t="n">
        <v>46324</v>
      </c>
      <c r="E4" s="8" t="inlineStr">
        <is>
          <t>Relevant/Suitable</t>
        </is>
      </c>
      <c r="F4" s="8" t="n">
        <v>94</v>
      </c>
      <c r="G4" s="8" t="inlineStr">
        <is>
          <t>No</t>
        </is>
      </c>
    </row>
    <row r="5">
      <c r="A5" s="8" t="inlineStr">
        <is>
          <t>AP-018</t>
        </is>
      </c>
      <c r="B5" s="8" t="inlineStr">
        <is>
          <t>CAND-002</t>
        </is>
      </c>
      <c r="C5" s="8" t="inlineStr">
        <is>
          <t>JP-002</t>
        </is>
      </c>
      <c r="D5" s="9" t="n">
        <v>46324</v>
      </c>
      <c r="E5" s="8" t="inlineStr">
        <is>
          <t>Relevant/Suitable</t>
        </is>
      </c>
      <c r="F5" s="8" t="n">
        <v>94</v>
      </c>
      <c r="G5" s="8" t="inlineStr">
        <is>
          <t>Yes</t>
        </is>
      </c>
    </row>
    <row r="6">
      <c r="A6" s="8" t="inlineStr">
        <is>
          <t>AP-011</t>
        </is>
      </c>
      <c r="B6" s="8" t="inlineStr">
        <is>
          <t>CAND-003</t>
        </is>
      </c>
      <c r="C6" s="8" t="inlineStr">
        <is>
          <t>JP-003</t>
        </is>
      </c>
      <c r="D6" s="9" t="n">
        <v>46324</v>
      </c>
      <c r="E6" s="8" t="inlineStr">
        <is>
          <t>Relevant/Suitable</t>
        </is>
      </c>
      <c r="F6" s="8" t="n">
        <v>88</v>
      </c>
      <c r="G6" s="8" t="inlineStr">
        <is>
          <t>No</t>
        </is>
      </c>
    </row>
    <row r="7">
      <c r="A7" s="8" t="inlineStr">
        <is>
          <t>AP-002</t>
        </is>
      </c>
      <c r="B7" s="8" t="inlineStr">
        <is>
          <t>CAND-004</t>
        </is>
      </c>
      <c r="C7" s="8" t="inlineStr">
        <is>
          <t>JP-001</t>
        </is>
      </c>
      <c r="D7" s="9" t="n">
        <v>46323</v>
      </c>
      <c r="E7" s="8" t="inlineStr">
        <is>
          <t>Relevant/Suitable</t>
        </is>
      </c>
      <c r="F7" s="8" t="n">
        <v>75</v>
      </c>
      <c r="G7" s="8" t="inlineStr">
        <is>
          <t>No</t>
        </is>
      </c>
    </row>
    <row r="8">
      <c r="A8" s="8" t="inlineStr">
        <is>
          <t>AP-015</t>
        </is>
      </c>
      <c r="B8" s="8" t="inlineStr">
        <is>
          <t>CAND-005</t>
        </is>
      </c>
      <c r="C8" s="8" t="inlineStr">
        <is>
          <t>JP-003</t>
        </is>
      </c>
      <c r="D8" s="9" t="n">
        <v>46320</v>
      </c>
      <c r="E8" s="8" t="inlineStr">
        <is>
          <t>Partially Relevant</t>
        </is>
      </c>
      <c r="F8" s="8" t="n">
        <v>69</v>
      </c>
      <c r="G8" s="8" t="inlineStr">
        <is>
          <t>No</t>
        </is>
      </c>
    </row>
    <row r="9">
      <c r="A9" s="8" t="inlineStr">
        <is>
          <t>AP-016</t>
        </is>
      </c>
      <c r="B9" s="8" t="inlineStr">
        <is>
          <t>CAND-005</t>
        </is>
      </c>
      <c r="C9" s="8" t="inlineStr">
        <is>
          <t>JP-003</t>
        </is>
      </c>
      <c r="D9" s="9" t="n">
        <v>46320</v>
      </c>
      <c r="E9" s="8" t="inlineStr">
        <is>
          <t>Partially Relevant</t>
        </is>
      </c>
      <c r="F9" s="8" t="n">
        <v>69</v>
      </c>
      <c r="G9" s="8" t="inlineStr">
        <is>
          <t>Yes</t>
        </is>
      </c>
    </row>
    <row r="10">
      <c r="A10" s="8" t="inlineStr">
        <is>
          <t>AP-012</t>
        </is>
      </c>
      <c r="B10" s="8" t="inlineStr">
        <is>
          <t>CAND-006</t>
        </is>
      </c>
      <c r="C10" s="8" t="inlineStr">
        <is>
          <t>JP-003</t>
        </is>
      </c>
      <c r="D10" s="9" t="n">
        <v>46323</v>
      </c>
      <c r="E10" s="8" t="inlineStr">
        <is>
          <t>Partially Relevant</t>
        </is>
      </c>
      <c r="F10" s="8" t="n">
        <v>62</v>
      </c>
      <c r="G10" s="8" t="inlineStr">
        <is>
          <t>No</t>
        </is>
      </c>
    </row>
    <row r="11">
      <c r="A11" s="8" t="inlineStr">
        <is>
          <t>AP-009</t>
        </is>
      </c>
      <c r="B11" s="8" t="inlineStr">
        <is>
          <t>CAND-007</t>
        </is>
      </c>
      <c r="C11" s="8" t="inlineStr">
        <is>
          <t>JP-002</t>
        </is>
      </c>
      <c r="D11" s="9" t="n">
        <v>46321</v>
      </c>
      <c r="E11" s="8" t="inlineStr">
        <is>
          <t>Partially Relevant</t>
        </is>
      </c>
      <c r="F11" s="8" t="n">
        <v>59</v>
      </c>
      <c r="G11" s="8" t="inlineStr">
        <is>
          <t>No</t>
        </is>
      </c>
    </row>
    <row r="12">
      <c r="A12" s="8" t="inlineStr">
        <is>
          <t>AP-019</t>
        </is>
      </c>
      <c r="B12" s="8" t="inlineStr">
        <is>
          <t>CAND-007</t>
        </is>
      </c>
      <c r="C12" s="8" t="inlineStr">
        <is>
          <t>JP-002</t>
        </is>
      </c>
      <c r="D12" s="9" t="n">
        <v>46321</v>
      </c>
      <c r="E12" s="8" t="inlineStr">
        <is>
          <t>Partially Relevant</t>
        </is>
      </c>
      <c r="F12" s="8" t="n">
        <v>59</v>
      </c>
      <c r="G12" s="8" t="inlineStr">
        <is>
          <t>Yes</t>
        </is>
      </c>
    </row>
    <row r="13">
      <c r="A13" s="8" t="inlineStr">
        <is>
          <t>AP-014</t>
        </is>
      </c>
      <c r="B13" s="8" t="inlineStr">
        <is>
          <t>CAND-008</t>
        </is>
      </c>
      <c r="C13" s="8" t="inlineStr">
        <is>
          <t>JP-003</t>
        </is>
      </c>
      <c r="D13" s="9" t="n">
        <v>46320</v>
      </c>
      <c r="E13" s="8" t="inlineStr">
        <is>
          <t>Partially Relevant</t>
        </is>
      </c>
      <c r="F13" s="8" t="n">
        <v>56</v>
      </c>
      <c r="G13" s="8" t="inlineStr">
        <is>
          <t>No</t>
        </is>
      </c>
    </row>
    <row r="14">
      <c r="A14" s="8" t="inlineStr">
        <is>
          <t>AP-007</t>
        </is>
      </c>
      <c r="B14" s="8" t="inlineStr">
        <is>
          <t>CAND-009</t>
        </is>
      </c>
      <c r="C14" s="8" t="inlineStr">
        <is>
          <t>JP-002</t>
        </is>
      </c>
      <c r="D14" s="9" t="n">
        <v>46323</v>
      </c>
      <c r="E14" s="8" t="inlineStr">
        <is>
          <t>Partially Relevant</t>
        </is>
      </c>
      <c r="F14" s="8" t="n">
        <v>44</v>
      </c>
      <c r="G14" s="8" t="inlineStr">
        <is>
          <t>No</t>
        </is>
      </c>
    </row>
    <row r="15">
      <c r="A15" s="8" t="inlineStr">
        <is>
          <t>AP-008</t>
        </is>
      </c>
      <c r="B15" s="8" t="inlineStr">
        <is>
          <t>CAND-010</t>
        </is>
      </c>
      <c r="C15" s="8" t="inlineStr">
        <is>
          <t>JP-002</t>
        </is>
      </c>
      <c r="D15" s="9" t="n">
        <v>46321</v>
      </c>
      <c r="E15" s="8" t="inlineStr">
        <is>
          <t>Partially Relevant</t>
        </is>
      </c>
      <c r="F15" s="8" t="n">
        <v>42</v>
      </c>
      <c r="G15" s="8" t="inlineStr">
        <is>
          <t>No</t>
        </is>
      </c>
    </row>
    <row r="16">
      <c r="A16" s="8" t="inlineStr">
        <is>
          <t>AP-005</t>
        </is>
      </c>
      <c r="B16" s="8" t="inlineStr">
        <is>
          <t>CAND-011</t>
        </is>
      </c>
      <c r="C16" s="8" t="inlineStr">
        <is>
          <t>JP-001</t>
        </is>
      </c>
      <c r="D16" s="9" t="n">
        <v>46322</v>
      </c>
      <c r="E16" s="8" t="inlineStr">
        <is>
          <t>Incomplete Profile</t>
        </is>
      </c>
      <c r="F16" s="8" t="n">
        <v>0</v>
      </c>
      <c r="G16" s="8" t="inlineStr">
        <is>
          <t>No</t>
        </is>
      </c>
    </row>
    <row r="17">
      <c r="A17" s="8" t="inlineStr">
        <is>
          <t>AP-010</t>
        </is>
      </c>
      <c r="B17" s="8" t="inlineStr">
        <is>
          <t>CAND-012</t>
        </is>
      </c>
      <c r="C17" s="8" t="inlineStr">
        <is>
          <t>JP-002</t>
        </is>
      </c>
      <c r="D17" s="9" t="n">
        <v>46320</v>
      </c>
      <c r="E17" s="8" t="inlineStr">
        <is>
          <t>Not Relevant</t>
        </is>
      </c>
      <c r="F17" s="8" t="n">
        <v>40</v>
      </c>
      <c r="G17" s="8" t="inlineStr">
        <is>
          <t>No</t>
        </is>
      </c>
    </row>
    <row r="18">
      <c r="A18" s="8" t="inlineStr">
        <is>
          <t>AP-004</t>
        </is>
      </c>
      <c r="B18" s="8" t="inlineStr">
        <is>
          <t>CAND-013</t>
        </is>
      </c>
      <c r="C18" s="8" t="inlineStr">
        <is>
          <t>JP-001</t>
        </is>
      </c>
      <c r="D18" s="9" t="n">
        <v>46322</v>
      </c>
      <c r="E18" s="8" t="inlineStr">
        <is>
          <t>Not Relevant</t>
        </is>
      </c>
      <c r="F18" s="8" t="n">
        <v>38</v>
      </c>
      <c r="G18" s="8" t="inlineStr">
        <is>
          <t>No</t>
        </is>
      </c>
    </row>
    <row r="19">
      <c r="A19" s="8" t="inlineStr">
        <is>
          <t>AP-013</t>
        </is>
      </c>
      <c r="B19" s="8" t="inlineStr">
        <is>
          <t>CAND-014</t>
        </is>
      </c>
      <c r="C19" s="8" t="inlineStr">
        <is>
          <t>JP-003</t>
        </is>
      </c>
      <c r="D19" s="9" t="n">
        <v>46322</v>
      </c>
      <c r="E19" s="8" t="inlineStr">
        <is>
          <t>Not Relevant</t>
        </is>
      </c>
      <c r="F19" s="8" t="n">
        <v>31</v>
      </c>
      <c r="G19" s="8" t="inlineStr">
        <is>
          <t>No</t>
        </is>
      </c>
    </row>
    <row r="20">
      <c r="A20" s="8" t="inlineStr">
        <is>
          <t>AP-003</t>
        </is>
      </c>
      <c r="B20" s="8" t="inlineStr">
        <is>
          <t>CAND-015</t>
        </is>
      </c>
      <c r="C20" s="8" t="inlineStr">
        <is>
          <t>JP-001</t>
        </is>
      </c>
      <c r="D20" s="9" t="n">
        <v>46323</v>
      </c>
      <c r="E20" s="8" t="inlineStr">
        <is>
          <t>Not Relevant</t>
        </is>
      </c>
      <c r="F20" s="8" t="n">
        <v>28</v>
      </c>
      <c r="G20" s="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Access &amp; data handling</t>
        </is>
      </c>
    </row>
    <row r="2">
      <c r="A2" s="12" t="inlineStr">
        <is>
          <t>Authorised users: (not set - sample data only)</t>
        </is>
      </c>
    </row>
    <row r="3">
      <c r="A3" s="12" t="inlineStr">
        <is>
          <t>Source: Indeed's permitted employer-dashboard export only. No scraping, bots or unofficial access.</t>
        </is>
      </c>
    </row>
    <row r="4">
      <c r="A4" s="12" t="inlineStr">
        <is>
          <t>Captured: name, contact details, location, relevant experience, skills, application date, status, screening reason.</t>
        </is>
      </c>
    </row>
    <row r="5">
      <c r="A5" s="12" t="inlineStr">
        <is>
          <t>Not captured/used: age, gender, religion, marital status, photo, health, or any non-job-related attribute.</t>
        </is>
      </c>
    </row>
    <row r="6">
      <c r="A6" s="12" t="inlineStr">
        <is>
          <t>Sharing: use Indeed_Shortlist_Masked.xlsx (contacts masked) for hiring managers; never email the full database.</t>
        </is>
      </c>
    </row>
    <row r="7">
      <c r="A7" s="12" t="inlineStr">
        <is>
          <t>Protection: this file is saved owner-only; sheets are locked except yellow reviewer cells. Excel sheet protection is a guard against accidental edits, not strong security - keep the file on an access-controlled drive.</t>
        </is>
      </c>
    </row>
    <row r="8">
      <c r="A8" s="12" t="inlineStr">
        <is>
          <t>Retention: delete or anonymise candidate records after the period set by your company policy and applicable data-protection law (e.g. India's DPDP Act) - confirm with HR/legal.</t>
        </is>
      </c>
    </row>
    <row r="9">
      <c r="A9" s="12" t="inlineStr">
        <is>
          <t>Audit: each run is recorded in access_log.csv (time, user, records).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2026-10-30T09:38:21Z</dcterms:created>
  <dcterms:modified xsi:type="dcterms:W3CDTF">2026-10-30T09:38:21Z</dcterms:modified>
</cp:coreProperties>
</file>